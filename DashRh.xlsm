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ber\OneDrive\Documentos\1. Cursos Online\7. Repositorio GIT\DashRH\"/>
    </mc:Choice>
  </mc:AlternateContent>
  <xr:revisionPtr revIDLastSave="0" documentId="13_ncr:1_{4E096BEC-5456-43A1-9021-19CA91CE5758}" xr6:coauthVersionLast="47" xr6:coauthVersionMax="47" xr10:uidLastSave="{00000000-0000-0000-0000-000000000000}"/>
  <bookViews>
    <workbookView xWindow="-120" yWindow="-120" windowWidth="29040" windowHeight="15840" xr2:uid="{1A5B1DE8-75BC-46FF-8CC5-09700F26CCAE}"/>
  </bookViews>
  <sheets>
    <sheet name="Dashboard" sheetId="7" r:id="rId1"/>
    <sheet name="BaseDados" sheetId="1" r:id="rId2"/>
    <sheet name="Matricial" sheetId="6" state="hidden" r:id="rId3"/>
    <sheet name="Desligados" sheetId="8" state="hidden" r:id="rId4"/>
    <sheet name="Auxiliar" sheetId="4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5" i="1" l="1"/>
  <c r="D45" i="1"/>
  <c r="U45" i="1"/>
  <c r="Y45" i="1"/>
  <c r="Z45" i="1"/>
  <c r="AA45" i="1"/>
  <c r="J2" i="4" a="1"/>
  <c r="J8" i="4" a="1"/>
  <c r="J8" i="4" l="1"/>
  <c r="J2" i="4"/>
  <c r="AA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Z2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L14" i="4" a="1"/>
  <c r="L14" i="4" s="1"/>
  <c r="AD3" i="4" a="1"/>
  <c r="AD3" i="4" s="1"/>
  <c r="V3" i="4" a="1"/>
  <c r="V3" i="4" s="1"/>
  <c r="E14" i="4"/>
  <c r="F13" i="4" s="1"/>
  <c r="E13" i="4"/>
  <c r="F12" i="4" s="1"/>
  <c r="E12" i="4"/>
  <c r="F11" i="4" s="1"/>
  <c r="E11" i="4"/>
  <c r="E10" i="4"/>
  <c r="E6" i="4"/>
  <c r="F5" i="4" s="1"/>
  <c r="E5" i="4"/>
  <c r="F4" i="4" s="1"/>
  <c r="E4" i="4"/>
  <c r="L3" i="4" a="1"/>
  <c r="L3" i="4" s="1"/>
  <c r="E3" i="4"/>
  <c r="B3" i="4" a="1"/>
  <c r="B3" i="4" s="1"/>
  <c r="A3" i="4" a="1"/>
  <c r="A3" i="4" s="1"/>
  <c r="E2" i="4"/>
  <c r="U44" i="1"/>
  <c r="Y43" i="1"/>
  <c r="U43" i="1"/>
  <c r="U42" i="1"/>
  <c r="U41" i="1"/>
  <c r="U40" i="1"/>
  <c r="Y39" i="1"/>
  <c r="U39" i="1"/>
  <c r="U38" i="1"/>
  <c r="U37" i="1"/>
  <c r="U36" i="1"/>
  <c r="U35" i="1"/>
  <c r="Y34" i="1"/>
  <c r="U34" i="1"/>
  <c r="U33" i="1"/>
  <c r="U32" i="1"/>
  <c r="U31" i="1"/>
  <c r="U30" i="1"/>
  <c r="U29" i="1"/>
  <c r="U28" i="1"/>
  <c r="U27" i="1"/>
  <c r="U26" i="1"/>
  <c r="U25" i="1"/>
  <c r="U24" i="1"/>
  <c r="T24" i="1"/>
  <c r="U23" i="1"/>
  <c r="T23" i="1"/>
  <c r="U22" i="1"/>
  <c r="T22" i="1"/>
  <c r="Y21" i="1"/>
  <c r="U21" i="1"/>
  <c r="T21" i="1"/>
  <c r="U20" i="1"/>
  <c r="T20" i="1"/>
  <c r="U19" i="1"/>
  <c r="T19" i="1"/>
  <c r="U18" i="1"/>
  <c r="T18" i="1"/>
  <c r="U17" i="1"/>
  <c r="T17" i="1"/>
  <c r="U16" i="1"/>
  <c r="T16" i="1"/>
  <c r="U15" i="1"/>
  <c r="T15" i="1"/>
  <c r="U14" i="1"/>
  <c r="T14" i="1"/>
  <c r="U13" i="1"/>
  <c r="T13" i="1"/>
  <c r="U12" i="1"/>
  <c r="T12" i="1"/>
  <c r="U11" i="1"/>
  <c r="T11" i="1"/>
  <c r="U10" i="1"/>
  <c r="T10" i="1"/>
  <c r="U9" i="1"/>
  <c r="T9" i="1"/>
  <c r="U8" i="1"/>
  <c r="T8" i="1"/>
  <c r="Y7" i="1"/>
  <c r="U7" i="1"/>
  <c r="T7" i="1"/>
  <c r="U6" i="1"/>
  <c r="T6" i="1"/>
  <c r="U5" i="1"/>
  <c r="T5" i="1"/>
  <c r="U4" i="1"/>
  <c r="T4" i="1"/>
  <c r="U3" i="1"/>
  <c r="T3" i="1"/>
  <c r="U2" i="1"/>
  <c r="T2" i="1"/>
  <c r="J5" i="4" a="1"/>
  <c r="J5" i="4" l="1"/>
  <c r="AS3" i="4" a="1"/>
  <c r="AS3" i="4" s="1"/>
  <c r="C3" i="4" a="1"/>
  <c r="AP3" i="4" a="1"/>
  <c r="G11" i="4"/>
  <c r="W42" i="1" s="1"/>
  <c r="G5" i="4"/>
  <c r="X44" i="1" s="1"/>
  <c r="F2" i="4"/>
  <c r="G2" i="4" s="1"/>
  <c r="G6" i="4"/>
  <c r="F14" i="4"/>
  <c r="G4" i="4"/>
  <c r="X8" i="1" s="1"/>
  <c r="G13" i="4"/>
  <c r="G14" i="4"/>
  <c r="G12" i="4"/>
  <c r="W21" i="1" s="1"/>
  <c r="F10" i="4"/>
  <c r="G10" i="4" s="1"/>
  <c r="F3" i="4"/>
  <c r="G3" i="4" s="1"/>
  <c r="X16" i="1" s="1"/>
  <c r="E22" i="4"/>
  <c r="F21" i="4" s="1"/>
  <c r="E20" i="4"/>
  <c r="E18" i="4"/>
  <c r="E21" i="4"/>
  <c r="E19" i="4"/>
  <c r="W45" i="1" l="1"/>
  <c r="X6" i="1"/>
  <c r="X45" i="1"/>
  <c r="AP3" i="4"/>
  <c r="C3" i="4"/>
  <c r="W6" i="1"/>
  <c r="W32" i="1"/>
  <c r="X23" i="1"/>
  <c r="X4" i="1"/>
  <c r="W9" i="1"/>
  <c r="W27" i="1"/>
  <c r="W31" i="1"/>
  <c r="W41" i="1"/>
  <c r="W2" i="1"/>
  <c r="W22" i="1"/>
  <c r="X2" i="1"/>
  <c r="X15" i="1"/>
  <c r="W38" i="1"/>
  <c r="W13" i="1"/>
  <c r="W37" i="1"/>
  <c r="X35" i="1"/>
  <c r="X5" i="1"/>
  <c r="X30" i="1"/>
  <c r="X27" i="1"/>
  <c r="X34" i="1"/>
  <c r="X39" i="1"/>
  <c r="X43" i="1"/>
  <c r="X3" i="1"/>
  <c r="W19" i="1"/>
  <c r="X21" i="1"/>
  <c r="X38" i="1"/>
  <c r="X31" i="1"/>
  <c r="X36" i="1"/>
  <c r="X24" i="1"/>
  <c r="X40" i="1"/>
  <c r="X32" i="1"/>
  <c r="W5" i="1"/>
  <c r="W44" i="1"/>
  <c r="W40" i="1"/>
  <c r="W36" i="1"/>
  <c r="W34" i="1"/>
  <c r="W30" i="1"/>
  <c r="W16" i="1"/>
  <c r="W28" i="1"/>
  <c r="W11" i="1"/>
  <c r="W43" i="1"/>
  <c r="W25" i="1"/>
  <c r="W10" i="1"/>
  <c r="W17" i="1"/>
  <c r="W39" i="1"/>
  <c r="W20" i="1"/>
  <c r="W12" i="1"/>
  <c r="W7" i="1"/>
  <c r="W8" i="1"/>
  <c r="W4" i="1"/>
  <c r="W23" i="1"/>
  <c r="W15" i="1"/>
  <c r="W18" i="1"/>
  <c r="X19" i="1"/>
  <c r="X11" i="1"/>
  <c r="X14" i="1"/>
  <c r="X18" i="1"/>
  <c r="X37" i="1"/>
  <c r="X33" i="1"/>
  <c r="X29" i="1"/>
  <c r="X7" i="1"/>
  <c r="W26" i="1"/>
  <c r="W24" i="1"/>
  <c r="W33" i="1"/>
  <c r="W3" i="1"/>
  <c r="W14" i="1"/>
  <c r="W29" i="1"/>
  <c r="W35" i="1"/>
  <c r="X17" i="1"/>
  <c r="X9" i="1"/>
  <c r="X22" i="1"/>
  <c r="X10" i="1"/>
  <c r="X25" i="1"/>
  <c r="X20" i="1"/>
  <c r="X12" i="1"/>
  <c r="X13" i="1"/>
  <c r="X28" i="1"/>
  <c r="X42" i="1"/>
  <c r="X26" i="1"/>
  <c r="X41" i="1"/>
  <c r="F22" i="4"/>
  <c r="G22" i="4"/>
  <c r="F19" i="4"/>
  <c r="G19" i="4" s="1"/>
  <c r="F18" i="4"/>
  <c r="G18" i="4" s="1"/>
  <c r="V10" i="1" s="1"/>
  <c r="G21" i="4"/>
  <c r="V21" i="1" s="1"/>
  <c r="F20" i="4"/>
  <c r="G20" i="4" s="1"/>
  <c r="V25" i="1" l="1"/>
  <c r="V23" i="1"/>
  <c r="V45" i="1"/>
  <c r="AQ3" i="4"/>
  <c r="AQ4" i="4" s="1"/>
  <c r="AQ5" i="4" s="1"/>
  <c r="AQ6" i="4" s="1"/>
  <c r="AQ7" i="4" s="1"/>
  <c r="AQ8" i="4" s="1"/>
  <c r="AQ9" i="4" s="1"/>
  <c r="AQ10" i="4" s="1"/>
  <c r="Q14" i="4" a="1"/>
  <c r="Q14" i="4" s="1"/>
  <c r="Q3" i="4" a="1"/>
  <c r="Q3" i="4" s="1"/>
  <c r="V38" i="1"/>
  <c r="V24" i="1"/>
  <c r="V6" i="1"/>
  <c r="V33" i="1"/>
  <c r="V43" i="1"/>
  <c r="V11" i="1"/>
  <c r="V20" i="1"/>
  <c r="V26" i="1"/>
  <c r="V35" i="1"/>
  <c r="V37" i="1"/>
  <c r="V18" i="1"/>
  <c r="V41" i="1"/>
  <c r="V9" i="1"/>
  <c r="V44" i="1"/>
  <c r="V36" i="1"/>
  <c r="V32" i="1"/>
  <c r="V39" i="1"/>
  <c r="V19" i="1"/>
  <c r="V16" i="1"/>
  <c r="V27" i="1"/>
  <c r="V5" i="1"/>
  <c r="V13" i="1"/>
  <c r="V28" i="1"/>
  <c r="V2" i="1"/>
  <c r="V29" i="1"/>
  <c r="V17" i="1"/>
  <c r="V42" i="1"/>
  <c r="V7" i="1"/>
  <c r="V40" i="1"/>
  <c r="V3" i="1"/>
  <c r="V31" i="1"/>
  <c r="V4" i="1"/>
  <c r="V34" i="1"/>
  <c r="V14" i="1"/>
  <c r="V30" i="1"/>
  <c r="V15" i="1"/>
  <c r="V8" i="1"/>
  <c r="V12" i="1"/>
  <c r="V22" i="1"/>
  <c r="A1" i="8" l="1" a="1"/>
  <c r="A1" i="8" s="1"/>
  <c r="A1" i="6" a="1"/>
  <c r="AN5" i="4"/>
  <c r="A1" i="6" l="1"/>
  <c r="AN4" i="4"/>
  <c r="AN6" i="4" s="1"/>
  <c r="AN3" i="4"/>
  <c r="AT3" i="4" a="1"/>
  <c r="AT3" i="4" s="1"/>
  <c r="AA3" i="4"/>
  <c r="AA8" i="4" s="1"/>
  <c r="AE3" i="4"/>
  <c r="AF3" i="4" s="1"/>
  <c r="AK7" i="4"/>
  <c r="AE5" i="4"/>
  <c r="AF5" i="4" s="1"/>
  <c r="AB5" i="4"/>
  <c r="AK6" i="4"/>
  <c r="AE4" i="4"/>
  <c r="AF4" i="4" s="1"/>
  <c r="AA7" i="4"/>
  <c r="AB4" i="4"/>
  <c r="AK5" i="4"/>
  <c r="M3" i="4" a="1"/>
  <c r="M3" i="4" s="1"/>
  <c r="AB6" i="4"/>
  <c r="M14" i="4" a="1"/>
  <c r="M14" i="4" s="1"/>
  <c r="AE7" i="4"/>
  <c r="AF7" i="4" s="1"/>
  <c r="AA6" i="4"/>
  <c r="AB3" i="4"/>
  <c r="AB8" i="4" s="1"/>
  <c r="AK4" i="4"/>
  <c r="AE6" i="4"/>
  <c r="AF6" i="4" s="1"/>
  <c r="AA5" i="4"/>
  <c r="AJ7" i="4"/>
  <c r="AK3" i="4"/>
  <c r="AK8" i="4" s="1"/>
  <c r="AE8" i="4"/>
  <c r="AF8" i="4" s="1"/>
  <c r="AA4" i="4"/>
  <c r="AJ6" i="4"/>
  <c r="R3" i="4" a="1"/>
  <c r="AJ5" i="4"/>
  <c r="AJ3" i="4"/>
  <c r="AJ8" i="4" s="1"/>
  <c r="W3" i="4" a="1"/>
  <c r="W3" i="4" s="1"/>
  <c r="X3" i="4" s="1"/>
  <c r="R14" i="4" a="1"/>
  <c r="R14" i="4" s="1"/>
  <c r="S14" i="4" s="1"/>
  <c r="AB7" i="4"/>
  <c r="AJ4" i="4"/>
  <c r="O20" i="4" l="1"/>
  <c r="O5" i="4"/>
  <c r="O19" i="4"/>
  <c r="O6" i="4"/>
  <c r="O3" i="4"/>
  <c r="O4" i="4"/>
  <c r="O18" i="4"/>
  <c r="O7" i="4"/>
  <c r="O17" i="4"/>
  <c r="O8" i="4"/>
  <c r="O16" i="4"/>
  <c r="O9" i="4"/>
  <c r="O15" i="4"/>
  <c r="O14" i="4"/>
  <c r="R3" i="4"/>
  <c r="S3" i="4" s="1"/>
  <c r="M10" i="4"/>
  <c r="AG3" i="4"/>
  <c r="AG5" i="4"/>
  <c r="AE9" i="4"/>
  <c r="AF9" i="4" s="1"/>
  <c r="AG8" i="4"/>
  <c r="AG4" i="4"/>
  <c r="AG6" i="4"/>
  <c r="AG7" i="4"/>
  <c r="N6" i="4"/>
  <c r="N8" i="4"/>
  <c r="N4" i="4"/>
  <c r="N3" i="4"/>
  <c r="N18" i="4"/>
  <c r="N9" i="4"/>
  <c r="N19" i="4"/>
  <c r="N5" i="4"/>
  <c r="N20" i="4"/>
  <c r="N17" i="4"/>
  <c r="N15" i="4"/>
  <c r="N7" i="4"/>
  <c r="N16" i="4"/>
  <c r="W5" i="4"/>
  <c r="X4" i="4"/>
  <c r="X5" i="4" s="1"/>
  <c r="N14" i="4"/>
  <c r="M21" i="4"/>
  <c r="S17" i="4"/>
  <c r="S16" i="4"/>
  <c r="S18" i="4"/>
  <c r="S15" i="4"/>
  <c r="R19" i="4"/>
  <c r="S7" i="4" l="1"/>
  <c r="S5" i="4"/>
  <c r="T14" i="4"/>
  <c r="T16" i="4"/>
  <c r="S4" i="4"/>
  <c r="R8" i="4"/>
  <c r="S6" i="4"/>
  <c r="T15" i="4"/>
  <c r="T17" i="4"/>
  <c r="T18" i="4"/>
  <c r="AG9" i="4"/>
  <c r="N10" i="4"/>
  <c r="N21" i="4"/>
  <c r="S19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<sst xmlns="http://schemas.openxmlformats.org/spreadsheetml/2006/main" count="528" uniqueCount="126">
  <si>
    <t>Nome</t>
  </si>
  <si>
    <t>Gênero</t>
  </si>
  <si>
    <t>Data Nascimento</t>
  </si>
  <si>
    <t>Idade</t>
  </si>
  <si>
    <t>Escolaridade</t>
  </si>
  <si>
    <t>Cargo</t>
  </si>
  <si>
    <t>Área</t>
  </si>
  <si>
    <t>Salário</t>
  </si>
  <si>
    <t>Data Admissão</t>
  </si>
  <si>
    <t>Data Demissão</t>
  </si>
  <si>
    <t>Motivo Demissão</t>
  </si>
  <si>
    <t>Contrato</t>
  </si>
  <si>
    <t>PCD</t>
  </si>
  <si>
    <t>Alimentação</t>
  </si>
  <si>
    <t>Saúde</t>
  </si>
  <si>
    <t>Odont</t>
  </si>
  <si>
    <t>Transporte</t>
  </si>
  <si>
    <t>Creche</t>
  </si>
  <si>
    <t>Combustível</t>
  </si>
  <si>
    <t>Benefícios</t>
  </si>
  <si>
    <t>João da Silva</t>
  </si>
  <si>
    <t>Masculino</t>
  </si>
  <si>
    <t>Ensino Superior</t>
  </si>
  <si>
    <t>Analista Jr</t>
  </si>
  <si>
    <t>TI</t>
  </si>
  <si>
    <t>-</t>
  </si>
  <si>
    <t>CLT</t>
  </si>
  <si>
    <t>Não</t>
  </si>
  <si>
    <t>Maria Santos</t>
  </si>
  <si>
    <t>Feminino</t>
  </si>
  <si>
    <t>Coordenador</t>
  </si>
  <si>
    <t>RH</t>
  </si>
  <si>
    <t>Carlos Mendes</t>
  </si>
  <si>
    <t>Gerente</t>
  </si>
  <si>
    <t>Finanças</t>
  </si>
  <si>
    <t>Ana Lima</t>
  </si>
  <si>
    <t>Ensino Médio</t>
  </si>
  <si>
    <t>Estagiário</t>
  </si>
  <si>
    <t>Término de Contrato</t>
  </si>
  <si>
    <t>Estágio</t>
  </si>
  <si>
    <t>Luiz Fernandes</t>
  </si>
  <si>
    <t>Laura Ferreira</t>
  </si>
  <si>
    <t>Analista Sr</t>
  </si>
  <si>
    <t>Pedro Alves</t>
  </si>
  <si>
    <t>Sofia Oliveira</t>
  </si>
  <si>
    <t>Mariana Souza</t>
  </si>
  <si>
    <t>Pedro Almeida</t>
  </si>
  <si>
    <t>Andréia Lima</t>
  </si>
  <si>
    <t>Gustavo Santos</t>
  </si>
  <si>
    <t>Assistente</t>
  </si>
  <si>
    <t>Fernanda Silva</t>
  </si>
  <si>
    <t>Bruno Oliveira</t>
  </si>
  <si>
    <t>Juliana Santos</t>
  </si>
  <si>
    <t>Roberto Almeida</t>
  </si>
  <si>
    <t>Fim de contrato</t>
  </si>
  <si>
    <t>Patrícia Lima</t>
  </si>
  <si>
    <t>Rodrigo Santos</t>
  </si>
  <si>
    <t>Larissa Fernandes</t>
  </si>
  <si>
    <t>Lucas Alves</t>
  </si>
  <si>
    <t>Camila Oliveira</t>
  </si>
  <si>
    <t>Fábio Santos</t>
  </si>
  <si>
    <t>Luana Souza</t>
  </si>
  <si>
    <t>Sim</t>
  </si>
  <si>
    <t>Fernando Oliveira</t>
  </si>
  <si>
    <t>Vanessa Silva</t>
  </si>
  <si>
    <t>Rafael Mendes</t>
  </si>
  <si>
    <t>Carolina Almeida</t>
  </si>
  <si>
    <t>Marcelo Santos</t>
  </si>
  <si>
    <t>Mariana Oliveira</t>
  </si>
  <si>
    <t>Ricardo Lima</t>
  </si>
  <si>
    <t>Gabriela Fernandes</t>
  </si>
  <si>
    <t>Lucas Oliveira</t>
  </si>
  <si>
    <t>Natália Souza</t>
  </si>
  <si>
    <t>Leonardo Almeida</t>
  </si>
  <si>
    <t>Carla Santos</t>
  </si>
  <si>
    <t>Gustavo Oliveira</t>
  </si>
  <si>
    <t>Isabela Fernandes</t>
  </si>
  <si>
    <t>Diego Mendes</t>
  </si>
  <si>
    <t>Andréia Oliveira</t>
  </si>
  <si>
    <t>Rafaela Lima</t>
  </si>
  <si>
    <t>Felipe Santos</t>
  </si>
  <si>
    <t>Mariana Fernandes</t>
  </si>
  <si>
    <t>Vitor Oliveira</t>
  </si>
  <si>
    <t>Tempo Empresa</t>
  </si>
  <si>
    <t>Faixa Salarial</t>
  </si>
  <si>
    <t>Salario</t>
  </si>
  <si>
    <t>Faixa Tempo Empresa</t>
  </si>
  <si>
    <t>Faixa Idade</t>
  </si>
  <si>
    <t>Limite</t>
  </si>
  <si>
    <t>Categoria</t>
  </si>
  <si>
    <t>Dias</t>
  </si>
  <si>
    <t>Status</t>
  </si>
  <si>
    <t>Demissão sem justa causa</t>
  </si>
  <si>
    <t>Pedido de desligamento</t>
  </si>
  <si>
    <t>(Tudo)</t>
  </si>
  <si>
    <t>Index</t>
  </si>
  <si>
    <t>%</t>
  </si>
  <si>
    <t>Qtde</t>
  </si>
  <si>
    <t>Total</t>
  </si>
  <si>
    <t>Marketing</t>
  </si>
  <si>
    <t>Supervisor</t>
  </si>
  <si>
    <t>Licença Mat</t>
  </si>
  <si>
    <t>Férias</t>
  </si>
  <si>
    <t>1600-3049</t>
  </si>
  <si>
    <t>3050-4999</t>
  </si>
  <si>
    <t>5000-10499</t>
  </si>
  <si>
    <t>10500-16999</t>
  </si>
  <si>
    <t>&gt;17000</t>
  </si>
  <si>
    <t>Métricas</t>
  </si>
  <si>
    <t>Total Desligados</t>
  </si>
  <si>
    <t>TurnOver</t>
  </si>
  <si>
    <t>Ano</t>
  </si>
  <si>
    <t>Total Contratado</t>
  </si>
  <si>
    <t>Ano_cont</t>
  </si>
  <si>
    <t>Ano_Dem</t>
  </si>
  <si>
    <t>Acumulado</t>
  </si>
  <si>
    <t>Total Ativo</t>
  </si>
  <si>
    <t>Qtd</t>
  </si>
  <si>
    <t>Outros</t>
  </si>
  <si>
    <t>Gilberto Torres</t>
  </si>
  <si>
    <t>Fundo</t>
  </si>
  <si>
    <t>68-421</t>
  </si>
  <si>
    <t>422-717</t>
  </si>
  <si>
    <t>718-1128</t>
  </si>
  <si>
    <t>1129-3062</t>
  </si>
  <si>
    <t>&gt;3063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</si>
</sst>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-0.249977111117893"/>
        <bgColor theme="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03A52"/>
        <bgColor indexed="64"/>
      </patternFill>
    </fill>
    <fill>
      <patternFill patternType="solid">
        <fgColor rgb="FF303A52"/>
        <bgColor theme="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0" fontId="0" fillId="0" borderId="0" xfId="0" applyAlignment="1">
      <alignment horizontal="left"/>
    </xf>
    <xf numFmtId="1" fontId="0" fillId="0" borderId="0" xfId="0" applyNumberFormat="1"/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2" borderId="1" xfId="0" quotePrefix="1" applyFill="1" applyBorder="1" applyAlignment="1">
      <alignment horizontal="left"/>
    </xf>
    <xf numFmtId="0" fontId="1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/>
    </xf>
    <xf numFmtId="0" fontId="2" fillId="7" borderId="0" xfId="0" applyFont="1" applyFill="1" applyAlignment="1">
      <alignment horizontal="center"/>
    </xf>
    <xf numFmtId="0" fontId="1" fillId="8" borderId="0" xfId="0" applyFont="1" applyFill="1" applyAlignment="1">
      <alignment horizontal="left"/>
    </xf>
    <xf numFmtId="0" fontId="1" fillId="8" borderId="2" xfId="0" applyFont="1" applyFill="1" applyBorder="1" applyAlignment="1">
      <alignment horizontal="left"/>
    </xf>
    <xf numFmtId="0" fontId="1" fillId="8" borderId="2" xfId="0" applyFont="1" applyFill="1" applyBorder="1"/>
    <xf numFmtId="0" fontId="2" fillId="7" borderId="0" xfId="0" applyFont="1" applyFill="1" applyAlignment="1">
      <alignment horizontal="left"/>
    </xf>
    <xf numFmtId="9" fontId="2" fillId="7" borderId="0" xfId="0" applyNumberFormat="1" applyFont="1" applyFill="1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9" borderId="0" xfId="0" applyFill="1"/>
    <xf numFmtId="10" fontId="2" fillId="7" borderId="0" xfId="1" applyNumberFormat="1" applyFont="1" applyFill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left"/>
    </xf>
    <xf numFmtId="44" fontId="0" fillId="0" borderId="0" xfId="2" applyFont="1" applyAlignment="1">
      <alignment horizontal="center"/>
    </xf>
    <xf numFmtId="0" fontId="0" fillId="0" borderId="0" xfId="0" quotePrefix="1" applyAlignment="1">
      <alignment horizontal="center"/>
    </xf>
    <xf numFmtId="44" fontId="2" fillId="7" borderId="0" xfId="2" applyFont="1" applyFill="1" applyAlignment="1">
      <alignment horizontal="center"/>
    </xf>
    <xf numFmtId="9" fontId="2" fillId="7" borderId="0" xfId="1" applyFont="1" applyFill="1" applyAlignment="1">
      <alignment horizontal="center"/>
    </xf>
    <xf numFmtId="9" fontId="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0" fillId="7" borderId="0" xfId="0" applyFill="1"/>
    <xf numFmtId="9" fontId="0" fillId="0" borderId="0" xfId="1" applyFont="1"/>
    <xf numFmtId="9" fontId="0" fillId="0" borderId="0" xfId="1" applyFont="1" applyAlignment="1">
      <alignment horizontal="left"/>
    </xf>
  </cellXfs>
  <cellStyles count="3">
    <cellStyle name="Moeda" xfId="2" builtinId="4"/>
    <cellStyle name="Normal" xfId="0" builtinId="0"/>
    <cellStyle name="Porcentagem" xfId="1" builtinId="5"/>
  </cellStyles>
  <dxfs count="29"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6B1009"/>
      <color rgb="FF303A52"/>
      <color rgb="FFF37168"/>
      <color rgb="FFA2DFF2"/>
      <color rgb="FF69738C"/>
      <color rgb="FF1B98BF"/>
      <color rgb="FF9FFFD8"/>
      <color rgb="FF7D83FF"/>
      <color rgb="FFFAEDCA"/>
      <color rgb="FFA8C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F37168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67B-4286-B3E8-A3DAA2400081}"/>
              </c:ext>
            </c:extLst>
          </c:dPt>
          <c:dPt>
            <c:idx val="1"/>
            <c:bubble3D val="0"/>
            <c:spPr>
              <a:solidFill>
                <a:srgbClr val="A2DFF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67B-4286-B3E8-A3DAA2400081}"/>
              </c:ext>
            </c:extLst>
          </c:dPt>
          <c:cat>
            <c:strRef>
              <c:f>Auxiliar!$V$3:$V$4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Auxiliar!$X$3:$X$4</c:f>
              <c:numCache>
                <c:formatCode>0.00%</c:formatCode>
                <c:ptCount val="2"/>
                <c:pt idx="0">
                  <c:v>0.48717948717948717</c:v>
                </c:pt>
                <c:pt idx="1">
                  <c:v>0.51282051282051277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7B-4286-B3E8-A3DAA2400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1"/>
          <c:order val="0"/>
          <c:tx>
            <c:strRef>
              <c:f>Auxiliar!$AK$2</c:f>
              <c:strCache>
                <c:ptCount val="1"/>
                <c:pt idx="0">
                  <c:v>Qtde</c:v>
                </c:pt>
              </c:strCache>
            </c:strRef>
          </c:tx>
          <c:spPr>
            <a:ln w="28575" cap="rnd">
              <a:solidFill>
                <a:srgbClr val="F37168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37168"/>
              </a:solidFill>
              <a:ln w="9525">
                <a:solidFill>
                  <a:schemeClr val="bg1"/>
                </a:solidFill>
              </a:ln>
              <a:effectLst/>
            </c:spPr>
          </c:marker>
          <c:val>
            <c:numRef>
              <c:f>Auxiliar!$AK$3:$AK$7</c:f>
              <c:numCache>
                <c:formatCode>General</c:formatCode>
                <c:ptCount val="5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96-476D-8997-8C857C0E9153}"/>
            </c:ext>
          </c:extLst>
        </c:ser>
        <c:ser>
          <c:idx val="0"/>
          <c:order val="1"/>
          <c:tx>
            <c:strRef>
              <c:f>Auxiliar!$AJ$2</c:f>
              <c:strCache>
                <c:ptCount val="1"/>
                <c:pt idx="0">
                  <c:v>Qtde</c:v>
                </c:pt>
              </c:strCache>
            </c:strRef>
          </c:tx>
          <c:spPr>
            <a:ln w="28575" cap="rnd">
              <a:solidFill>
                <a:srgbClr val="A2DFF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A2DFF2"/>
              </a:solidFill>
              <a:ln w="9525">
                <a:solidFill>
                  <a:schemeClr val="bg1"/>
                </a:solidFill>
              </a:ln>
              <a:effectLst/>
            </c:spPr>
          </c:marker>
          <c:cat>
            <c:strRef>
              <c:f>Auxiliar!$AI$3:$AI$7</c:f>
              <c:strCache>
                <c:ptCount val="5"/>
                <c:pt idx="0">
                  <c:v>68-421</c:v>
                </c:pt>
                <c:pt idx="1">
                  <c:v>422-717</c:v>
                </c:pt>
                <c:pt idx="2">
                  <c:v>718-1128</c:v>
                </c:pt>
                <c:pt idx="3">
                  <c:v>1129-3062</c:v>
                </c:pt>
                <c:pt idx="4">
                  <c:v>&gt;3063</c:v>
                </c:pt>
              </c:strCache>
            </c:strRef>
          </c:cat>
          <c:val>
            <c:numRef>
              <c:f>Auxiliar!$AJ$3:$AJ$7</c:f>
              <c:numCache>
                <c:formatCode>General</c:formatCode>
                <c:ptCount val="5"/>
                <c:pt idx="0">
                  <c:v>2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96-476D-8997-8C857C0E9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6001551"/>
        <c:axId val="958692815"/>
      </c:radarChart>
      <c:catAx>
        <c:axId val="89600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8692815"/>
        <c:crosses val="autoZero"/>
        <c:auto val="1"/>
        <c:lblAlgn val="ctr"/>
        <c:lblOffset val="100"/>
        <c:noMultiLvlLbl val="0"/>
      </c:catAx>
      <c:valAx>
        <c:axId val="958692815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bg1">
                  <a:alpha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6001551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450992590365806E-2"/>
          <c:y val="7.0947986606472613E-2"/>
          <c:w val="0.95109814762793632"/>
          <c:h val="0.71620805357410966"/>
        </c:manualLayout>
      </c:layout>
      <c:lineChart>
        <c:grouping val="standard"/>
        <c:varyColors val="0"/>
        <c:ser>
          <c:idx val="0"/>
          <c:order val="0"/>
          <c:tx>
            <c:strRef>
              <c:f>Auxiliar!$AA$2</c:f>
              <c:strCache>
                <c:ptCount val="1"/>
                <c:pt idx="0">
                  <c:v>Qtde</c:v>
                </c:pt>
              </c:strCache>
            </c:strRef>
          </c:tx>
          <c:spPr>
            <a:ln w="57150" cap="rnd">
              <a:solidFill>
                <a:srgbClr val="A2DFF2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A2DFF2"/>
              </a:solidFill>
              <a:ln w="9525">
                <a:solidFill>
                  <a:schemeClr val="bg2"/>
                </a:solidFill>
              </a:ln>
              <a:effectLst/>
            </c:spPr>
          </c:marker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1B98BF"/>
                    </a:solidFill>
                    <a:latin typeface="DIN" panose="000004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minus"/>
            <c:errValType val="percentage"/>
            <c:noEndCap val="1"/>
            <c:val val="100"/>
            <c:spPr>
              <a:noFill/>
              <a:ln w="3175" cap="flat" cmpd="sng" algn="ctr">
                <a:solidFill>
                  <a:schemeClr val="bg2">
                    <a:alpha val="40000"/>
                  </a:schemeClr>
                </a:solidFill>
                <a:round/>
              </a:ln>
              <a:effectLst/>
            </c:spPr>
          </c:errBars>
          <c:cat>
            <c:strRef>
              <c:f>Auxiliar!$Z$3:$Z$7</c:f>
              <c:strCache>
                <c:ptCount val="5"/>
                <c:pt idx="0">
                  <c:v>1600-3049</c:v>
                </c:pt>
                <c:pt idx="1">
                  <c:v>3050-4999</c:v>
                </c:pt>
                <c:pt idx="2">
                  <c:v>5000-10499</c:v>
                </c:pt>
                <c:pt idx="3">
                  <c:v>10500-16999</c:v>
                </c:pt>
                <c:pt idx="4">
                  <c:v>&gt;17000</c:v>
                </c:pt>
              </c:strCache>
            </c:strRef>
          </c:cat>
          <c:val>
            <c:numRef>
              <c:f>Auxiliar!$AA$3:$AA$7</c:f>
              <c:numCache>
                <c:formatCode>General</c:formatCode>
                <c:ptCount val="5"/>
                <c:pt idx="0">
                  <c:v>4</c:v>
                </c:pt>
                <c:pt idx="1">
                  <c:v>7</c:v>
                </c:pt>
                <c:pt idx="2">
                  <c:v>3</c:v>
                </c:pt>
                <c:pt idx="3">
                  <c:v>6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05-4C86-93EE-883EB798C83E}"/>
            </c:ext>
          </c:extLst>
        </c:ser>
        <c:ser>
          <c:idx val="1"/>
          <c:order val="1"/>
          <c:tx>
            <c:strRef>
              <c:f>Auxiliar!$AB$2</c:f>
              <c:strCache>
                <c:ptCount val="1"/>
                <c:pt idx="0">
                  <c:v>Qtde</c:v>
                </c:pt>
              </c:strCache>
            </c:strRef>
          </c:tx>
          <c:spPr>
            <a:ln w="57150" cap="rnd">
              <a:solidFill>
                <a:srgbClr val="F37168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37168"/>
              </a:solidFill>
              <a:ln w="9525">
                <a:solidFill>
                  <a:schemeClr val="bg2"/>
                </a:solidFill>
              </a:ln>
              <a:effectLst/>
            </c:spPr>
          </c:marker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37168"/>
                    </a:solidFill>
                    <a:latin typeface="DIN" panose="000004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y"/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bg2">
                    <a:alpha val="40000"/>
                  </a:schemeClr>
                </a:solidFill>
                <a:prstDash val="solid"/>
                <a:round/>
              </a:ln>
              <a:effectLst/>
            </c:spPr>
          </c:errBars>
          <c:val>
            <c:numRef>
              <c:f>Auxiliar!$AB$3:$AB$7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05-4C86-93EE-883EB798C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949727"/>
        <c:axId val="799726239"/>
      </c:lineChart>
      <c:catAx>
        <c:axId val="95994972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99726239"/>
        <c:crosses val="autoZero"/>
        <c:auto val="1"/>
        <c:lblAlgn val="ctr"/>
        <c:lblOffset val="100"/>
        <c:noMultiLvlLbl val="0"/>
      </c:catAx>
      <c:valAx>
        <c:axId val="7997262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994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2"/>
          <c:order val="2"/>
          <c:tx>
            <c:strRef>
              <c:f>Auxiliar!$O$2</c:f>
              <c:strCache>
                <c:ptCount val="1"/>
                <c:pt idx="0">
                  <c:v>Fundo</c:v>
                </c:pt>
              </c:strCache>
            </c:strRef>
          </c:tx>
          <c:spPr>
            <a:solidFill>
              <a:srgbClr val="69738C"/>
            </a:solidFill>
            <a:ln>
              <a:noFill/>
            </a:ln>
            <a:effectLst/>
          </c:spPr>
          <c:invertIfNegative val="0"/>
          <c:val>
            <c:numRef>
              <c:f>Auxiliar!$O$3:$O$9</c:f>
              <c:numCache>
                <c:formatCode>General</c:formatCode>
                <c:ptCount val="7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0C-4293-8706-2B6473217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6923487"/>
        <c:axId val="222453023"/>
      </c:barChart>
      <c:barChart>
        <c:barDir val="col"/>
        <c:grouping val="percentStacked"/>
        <c:varyColors val="0"/>
        <c:ser>
          <c:idx val="0"/>
          <c:order val="0"/>
          <c:tx>
            <c:strRef>
              <c:f>Auxiliar!$M$2</c:f>
              <c:strCache>
                <c:ptCount val="1"/>
                <c:pt idx="0">
                  <c:v>Qtde</c:v>
                </c:pt>
              </c:strCache>
            </c:strRef>
          </c:tx>
          <c:spPr>
            <a:solidFill>
              <a:srgbClr val="A2DFF2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03A52"/>
                    </a:solidFill>
                    <a:latin typeface="DIN" panose="000004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Auxiliar!$L$3:$L$9</c:f>
              <c:strCache>
                <c:ptCount val="7"/>
                <c:pt idx="0">
                  <c:v>Analista Jr</c:v>
                </c:pt>
                <c:pt idx="1">
                  <c:v>Analista Sr</c:v>
                </c:pt>
                <c:pt idx="2">
                  <c:v>Assistente</c:v>
                </c:pt>
                <c:pt idx="3">
                  <c:v>Coordenador</c:v>
                </c:pt>
                <c:pt idx="4">
                  <c:v>Estagiário</c:v>
                </c:pt>
                <c:pt idx="5">
                  <c:v>Gerente</c:v>
                </c:pt>
                <c:pt idx="6">
                  <c:v>Supervisor</c:v>
                </c:pt>
              </c:strCache>
            </c:strRef>
          </c:cat>
          <c:val>
            <c:numRef>
              <c:f>Auxiliar!$M$3:$M$9</c:f>
              <c:numCache>
                <c:formatCode>General</c:formatCode>
                <c:ptCount val="7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0C-4293-8706-2B647321766D}"/>
            </c:ext>
          </c:extLst>
        </c:ser>
        <c:ser>
          <c:idx val="1"/>
          <c:order val="1"/>
          <c:tx>
            <c:strRef>
              <c:f>Auxiliar!$M$13</c:f>
              <c:strCache>
                <c:ptCount val="1"/>
                <c:pt idx="0">
                  <c:v>Qtde</c:v>
                </c:pt>
              </c:strCache>
            </c:strRef>
          </c:tx>
          <c:spPr>
            <a:solidFill>
              <a:srgbClr val="F37168"/>
            </a:solidFill>
            <a:ln>
              <a:noFill/>
            </a:ln>
            <a:effectLst/>
          </c:spPr>
          <c:invertIfNegative val="0"/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6B1009"/>
                    </a:solidFill>
                    <a:latin typeface="DIN" panose="00000400000000000000" pitchFamily="2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Auxiliar!$L$3:$L$9</c:f>
              <c:strCache>
                <c:ptCount val="7"/>
                <c:pt idx="0">
                  <c:v>Analista Jr</c:v>
                </c:pt>
                <c:pt idx="1">
                  <c:v>Analista Sr</c:v>
                </c:pt>
                <c:pt idx="2">
                  <c:v>Assistente</c:v>
                </c:pt>
                <c:pt idx="3">
                  <c:v>Coordenador</c:v>
                </c:pt>
                <c:pt idx="4">
                  <c:v>Estagiário</c:v>
                </c:pt>
                <c:pt idx="5">
                  <c:v>Gerente</c:v>
                </c:pt>
                <c:pt idx="6">
                  <c:v>Supervisor</c:v>
                </c:pt>
              </c:strCache>
            </c:strRef>
          </c:cat>
          <c:val>
            <c:numRef>
              <c:f>Auxiliar!$M$14:$M$20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8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0C-4293-8706-2B6473217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11344415"/>
        <c:axId val="319663695"/>
      </c:barChart>
      <c:catAx>
        <c:axId val="3169234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2453023"/>
        <c:crosses val="autoZero"/>
        <c:auto val="1"/>
        <c:lblAlgn val="ctr"/>
        <c:lblOffset val="100"/>
        <c:noMultiLvlLbl val="0"/>
      </c:catAx>
      <c:valAx>
        <c:axId val="222453023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316923487"/>
        <c:crosses val="autoZero"/>
        <c:crossBetween val="between"/>
      </c:valAx>
      <c:valAx>
        <c:axId val="319663695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11344415"/>
        <c:crosses val="max"/>
        <c:crossBetween val="between"/>
      </c:valAx>
      <c:catAx>
        <c:axId val="311344415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DIN" panose="00000400000000000000" pitchFamily="2" charset="0"/>
                <a:ea typeface="+mn-ea"/>
                <a:cs typeface="+mn-cs"/>
              </a:defRPr>
            </a:pPr>
            <a:endParaRPr lang="pt-BR"/>
          </a:p>
        </c:txPr>
        <c:crossAx val="319663695"/>
        <c:crosses val="max"/>
        <c:auto val="1"/>
        <c:lblAlgn val="ctr"/>
        <c:lblOffset val="100"/>
        <c:tickMarkSkip val="3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Auxiliar!$T$2</c:f>
              <c:strCache>
                <c:ptCount val="1"/>
                <c:pt idx="0">
                  <c:v>Fundo</c:v>
                </c:pt>
              </c:strCache>
            </c:strRef>
          </c:tx>
          <c:spPr>
            <a:solidFill>
              <a:srgbClr val="69738C"/>
            </a:solidFill>
            <a:ln>
              <a:noFill/>
            </a:ln>
            <a:effectLst/>
          </c:spPr>
          <c:invertIfNegative val="0"/>
          <c:val>
            <c:numRef>
              <c:f>Auxiliar!$T$3:$T$7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C-4E68-915B-AC8D5CC35C3A}"/>
            </c:ext>
          </c:extLst>
        </c:ser>
        <c:ser>
          <c:idx val="0"/>
          <c:order val="1"/>
          <c:tx>
            <c:strRef>
              <c:f>Auxiliar!$S$2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rgbClr val="A2DFF2"/>
            </a:solidFill>
            <a:ln>
              <a:noFill/>
            </a:ln>
            <a:effectLst/>
          </c:spPr>
          <c:invertIfNegative val="0"/>
          <c:val>
            <c:numRef>
              <c:f>Auxiliar!$S$3:$S$7</c:f>
              <c:numCache>
                <c:formatCode>0.00%</c:formatCode>
                <c:ptCount val="5"/>
                <c:pt idx="0">
                  <c:v>0.1</c:v>
                </c:pt>
                <c:pt idx="1">
                  <c:v>0.15</c:v>
                </c:pt>
                <c:pt idx="2">
                  <c:v>0.4</c:v>
                </c:pt>
                <c:pt idx="3">
                  <c:v>0.3</c:v>
                </c:pt>
                <c:pt idx="4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C-4E68-915B-AC8D5CC35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18686639"/>
        <c:axId val="15077951"/>
      </c:barChart>
      <c:catAx>
        <c:axId val="518686639"/>
        <c:scaling>
          <c:orientation val="minMax"/>
        </c:scaling>
        <c:delete val="1"/>
        <c:axPos val="r"/>
        <c:majorTickMark val="none"/>
        <c:minorTickMark val="none"/>
        <c:tickLblPos val="nextTo"/>
        <c:crossAx val="15077951"/>
        <c:crosses val="autoZero"/>
        <c:auto val="1"/>
        <c:lblAlgn val="ctr"/>
        <c:lblOffset val="100"/>
        <c:noMultiLvlLbl val="0"/>
      </c:catAx>
      <c:valAx>
        <c:axId val="15077951"/>
        <c:scaling>
          <c:orientation val="maxMin"/>
          <c:max val="1"/>
        </c:scaling>
        <c:delete val="1"/>
        <c:axPos val="b"/>
        <c:numFmt formatCode="0%" sourceLinked="1"/>
        <c:majorTickMark val="none"/>
        <c:minorTickMark val="none"/>
        <c:tickLblPos val="nextTo"/>
        <c:crossAx val="51868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1"/>
          <c:order val="0"/>
          <c:tx>
            <c:strRef>
              <c:f>Auxiliar!$T$2</c:f>
              <c:strCache>
                <c:ptCount val="1"/>
                <c:pt idx="0">
                  <c:v>Fundo</c:v>
                </c:pt>
              </c:strCache>
            </c:strRef>
          </c:tx>
          <c:spPr>
            <a:solidFill>
              <a:srgbClr val="69738C"/>
            </a:solidFill>
            <a:ln>
              <a:noFill/>
            </a:ln>
            <a:effectLst/>
          </c:spPr>
          <c:invertIfNegative val="0"/>
          <c:val>
            <c:numRef>
              <c:f>Auxiliar!$T$3:$T$7</c:f>
              <c:numCache>
                <c:formatCode>0%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C-4E68-915B-AC8D5CC35C3A}"/>
            </c:ext>
          </c:extLst>
        </c:ser>
        <c:ser>
          <c:idx val="0"/>
          <c:order val="1"/>
          <c:tx>
            <c:strRef>
              <c:f>Auxiliar!$S$2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rgbClr val="F37168"/>
            </a:solidFill>
            <a:ln>
              <a:noFill/>
            </a:ln>
            <a:effectLst/>
          </c:spPr>
          <c:invertIfNegative val="0"/>
          <c:val>
            <c:numRef>
              <c:f>Auxiliar!$S$14:$S$18</c:f>
              <c:numCache>
                <c:formatCode>0.00%</c:formatCode>
                <c:ptCount val="5"/>
                <c:pt idx="0">
                  <c:v>0.31578947368421051</c:v>
                </c:pt>
                <c:pt idx="1">
                  <c:v>0.42105263157894735</c:v>
                </c:pt>
                <c:pt idx="2">
                  <c:v>0.21052631578947367</c:v>
                </c:pt>
                <c:pt idx="3">
                  <c:v>5.2631578947368418E-2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C-4E68-915B-AC8D5CC35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18686639"/>
        <c:axId val="15077951"/>
      </c:barChart>
      <c:catAx>
        <c:axId val="518686639"/>
        <c:scaling>
          <c:orientation val="minMax"/>
        </c:scaling>
        <c:delete val="1"/>
        <c:axPos val="l"/>
        <c:majorTickMark val="out"/>
        <c:minorTickMark val="none"/>
        <c:tickLblPos val="nextTo"/>
        <c:crossAx val="15077951"/>
        <c:crosses val="autoZero"/>
        <c:auto val="1"/>
        <c:lblAlgn val="ctr"/>
        <c:lblOffset val="100"/>
        <c:noMultiLvlLbl val="0"/>
      </c:catAx>
      <c:valAx>
        <c:axId val="15077951"/>
        <c:scaling>
          <c:orientation val="minMax"/>
          <c:max val="1"/>
        </c:scaling>
        <c:delete val="1"/>
        <c:axPos val="b"/>
        <c:numFmt formatCode="0%" sourceLinked="1"/>
        <c:majorTickMark val="out"/>
        <c:minorTickMark val="none"/>
        <c:tickLblPos val="nextTo"/>
        <c:crossAx val="518686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Auxiliar!$I$8" fmlaRange="Auxiliar!$B$2:$B$4" noThreeD="1" sel="1" val="0"/>
</file>

<file path=xl/ctrlProps/ctrlProp2.xml><?xml version="1.0" encoding="utf-8"?>
<formControlPr xmlns="http://schemas.microsoft.com/office/spreadsheetml/2009/9/main" objectType="Drop" dropStyle="combo" dx="22" fmlaLink="Auxiliar!$I$5" fmlaRange="Auxiliar!$A$2:$A$6" noThreeD="1" sel="1" val="0"/>
</file>

<file path=xl/ctrlProps/ctrlProp3.xml><?xml version="1.0" encoding="utf-8"?>
<formControlPr xmlns="http://schemas.microsoft.com/office/spreadsheetml/2009/9/main" objectType="Drop" dropStyle="combo" dx="22" fmlaLink="Auxiliar!$I$2" fmlaRange="Auxiliar!$C$2:$C$9" noThreeD="1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3.png"/><Relationship Id="rId39" Type="http://schemas.openxmlformats.org/officeDocument/2006/relationships/image" Target="../media/image36.svg"/><Relationship Id="rId21" Type="http://schemas.openxmlformats.org/officeDocument/2006/relationships/image" Target="../media/image20.svg"/><Relationship Id="rId34" Type="http://schemas.openxmlformats.org/officeDocument/2006/relationships/image" Target="../media/image31.png"/><Relationship Id="rId42" Type="http://schemas.openxmlformats.org/officeDocument/2006/relationships/chart" Target="../charts/chart6.xml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19.png"/><Relationship Id="rId29" Type="http://schemas.openxmlformats.org/officeDocument/2006/relationships/image" Target="../media/image26.svg"/><Relationship Id="rId41" Type="http://schemas.openxmlformats.org/officeDocument/2006/relationships/chart" Target="../charts/chart5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chart" Target="../charts/chart2.xml"/><Relationship Id="rId32" Type="http://schemas.openxmlformats.org/officeDocument/2006/relationships/image" Target="../media/image29.png"/><Relationship Id="rId37" Type="http://schemas.openxmlformats.org/officeDocument/2006/relationships/image" Target="../media/image34.svg"/><Relationship Id="rId40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2.svg"/><Relationship Id="rId28" Type="http://schemas.openxmlformats.org/officeDocument/2006/relationships/image" Target="../media/image25.png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chart" Target="../charts/chart1.xml"/><Relationship Id="rId31" Type="http://schemas.openxmlformats.org/officeDocument/2006/relationships/image" Target="../media/image28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1.png"/><Relationship Id="rId27" Type="http://schemas.openxmlformats.org/officeDocument/2006/relationships/image" Target="../media/image24.svg"/><Relationship Id="rId30" Type="http://schemas.openxmlformats.org/officeDocument/2006/relationships/image" Target="../media/image27.png"/><Relationship Id="rId35" Type="http://schemas.openxmlformats.org/officeDocument/2006/relationships/image" Target="../media/image32.sv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chart" Target="../charts/chart3.xml"/><Relationship Id="rId33" Type="http://schemas.openxmlformats.org/officeDocument/2006/relationships/image" Target="../media/image30.svg"/><Relationship Id="rId38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598714</xdr:colOff>
      <xdr:row>1</xdr:row>
      <xdr:rowOff>5614</xdr:rowOff>
    </xdr:from>
    <xdr:to>
      <xdr:col>23</xdr:col>
      <xdr:colOff>570819</xdr:colOff>
      <xdr:row>38</xdr:row>
      <xdr:rowOff>138964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98714" y="196114"/>
          <a:ext cx="13959201" cy="7181850"/>
          <a:chOff x="612913" y="196114"/>
          <a:chExt cx="14065112" cy="7181850"/>
        </a:xfrm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2913" y="196114"/>
            <a:ext cx="14065112" cy="7181850"/>
          </a:xfrm>
          <a:prstGeom prst="roundRect">
            <a:avLst>
              <a:gd name="adj" fmla="val 5562"/>
            </a:avLst>
          </a:prstGeom>
          <a:solidFill>
            <a:srgbClr val="303A52"/>
          </a:solidFill>
          <a:ln>
            <a:solidFill>
              <a:srgbClr val="303A5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612913" y="196362"/>
            <a:ext cx="919178" cy="908538"/>
          </a:xfrm>
          <a:prstGeom prst="rect">
            <a:avLst/>
          </a:prstGeom>
          <a:solidFill>
            <a:srgbClr val="303A52"/>
          </a:solidFill>
          <a:ln>
            <a:solidFill>
              <a:srgbClr val="303A5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612913" y="6463564"/>
            <a:ext cx="919178" cy="914400"/>
          </a:xfrm>
          <a:prstGeom prst="rect">
            <a:avLst/>
          </a:prstGeom>
          <a:solidFill>
            <a:srgbClr val="303A52"/>
          </a:solidFill>
          <a:ln>
            <a:solidFill>
              <a:srgbClr val="303A5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2</xdr:col>
      <xdr:colOff>400050</xdr:colOff>
      <xdr:row>1</xdr:row>
      <xdr:rowOff>152399</xdr:rowOff>
    </xdr:from>
    <xdr:to>
      <xdr:col>23</xdr:col>
      <xdr:colOff>409575</xdr:colOff>
      <xdr:row>38</xdr:row>
      <xdr:rowOff>9524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619250" y="342899"/>
          <a:ext cx="12811125" cy="6905625"/>
        </a:xfrm>
        <a:prstGeom prst="roundRect">
          <a:avLst>
            <a:gd name="adj" fmla="val 3836"/>
          </a:avLst>
        </a:prstGeom>
        <a:solidFill>
          <a:schemeClr val="bg1"/>
        </a:solidFill>
        <a:ln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91440</xdr:colOff>
      <xdr:row>5</xdr:row>
      <xdr:rowOff>66515</xdr:rowOff>
    </xdr:from>
    <xdr:to>
      <xdr:col>23</xdr:col>
      <xdr:colOff>186690</xdr:colOff>
      <xdr:row>11</xdr:row>
      <xdr:rowOff>133351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920240" y="1019015"/>
          <a:ext cx="12287250" cy="1209836"/>
        </a:xfrm>
        <a:prstGeom prst="roundRect">
          <a:avLst>
            <a:gd name="adj" fmla="val 14478"/>
          </a:avLst>
        </a:prstGeom>
        <a:solidFill>
          <a:srgbClr val="303A52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67916</xdr:colOff>
      <xdr:row>1</xdr:row>
      <xdr:rowOff>172272</xdr:rowOff>
    </xdr:from>
    <xdr:to>
      <xdr:col>12</xdr:col>
      <xdr:colOff>534642</xdr:colOff>
      <xdr:row>4</xdr:row>
      <xdr:rowOff>67497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896716" y="362772"/>
          <a:ext cx="5953126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3200">
              <a:solidFill>
                <a:srgbClr val="303A52"/>
              </a:solidFill>
              <a:latin typeface="DIN" panose="00000400000000000000" pitchFamily="2" charset="0"/>
            </a:rPr>
            <a:t>Controle de Recursos Humanos</a:t>
          </a:r>
        </a:p>
      </xdr:txBody>
    </xdr:sp>
    <xdr:clientData/>
  </xdr:twoCellAnchor>
  <xdr:twoCellAnchor>
    <xdr:from>
      <xdr:col>5</xdr:col>
      <xdr:colOff>344956</xdr:colOff>
      <xdr:row>6</xdr:row>
      <xdr:rowOff>23733</xdr:rowOff>
    </xdr:from>
    <xdr:to>
      <xdr:col>7</xdr:col>
      <xdr:colOff>357928</xdr:colOff>
      <xdr:row>10</xdr:row>
      <xdr:rowOff>176133</xdr:rowOff>
    </xdr:to>
    <xdr:grpSp>
      <xdr:nvGrpSpPr>
        <xdr:cNvPr id="5146" name="Agrupar 5145">
          <a:extLst>
            <a:ext uri="{FF2B5EF4-FFF2-40B4-BE49-F238E27FC236}">
              <a16:creationId xmlns:a16="http://schemas.microsoft.com/office/drawing/2014/main" id="{00000000-0008-0000-0000-00001A140000}"/>
            </a:ext>
          </a:extLst>
        </xdr:cNvPr>
        <xdr:cNvGrpSpPr/>
      </xdr:nvGrpSpPr>
      <xdr:grpSpPr>
        <a:xfrm>
          <a:off x="3385629" y="1166733"/>
          <a:ext cx="1229241" cy="914400"/>
          <a:chOff x="6158077" y="1190625"/>
          <a:chExt cx="1232172" cy="9144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3" name="Drop Down 3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000-000003140000}"/>
                  </a:ext>
                </a:extLst>
              </xdr:cNvPr>
              <xdr:cNvSpPr/>
            </xdr:nvSpPr>
            <xdr:spPr bwMode="auto">
              <a:xfrm>
                <a:off x="6276975" y="1666875"/>
                <a:ext cx="952500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6177188" y="1328737"/>
            <a:ext cx="798391" cy="314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0">
                <a:solidFill>
                  <a:schemeClr val="bg1"/>
                </a:solidFill>
                <a:latin typeface="DIN" panose="00000400000000000000" pitchFamily="2" charset="0"/>
              </a:rPr>
              <a:t>Contrato:</a:t>
            </a:r>
          </a:p>
        </xdr:txBody>
      </xdr:sp>
      <xdr:sp macro="" textlink="">
        <xdr:nvSpPr>
          <xdr:cNvPr id="17" name="Retângulo: Cantos Arredondados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6158077" y="1190625"/>
            <a:ext cx="1232172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8" name="Gráfico 17" descr="Área de Transferência com preenchimento sólid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048071" y="1348155"/>
            <a:ext cx="233934" cy="230169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210395</xdr:colOff>
      <xdr:row>6</xdr:row>
      <xdr:rowOff>23733</xdr:rowOff>
    </xdr:from>
    <xdr:to>
      <xdr:col>5</xdr:col>
      <xdr:colOff>223368</xdr:colOff>
      <xdr:row>10</xdr:row>
      <xdr:rowOff>176133</xdr:rowOff>
    </xdr:to>
    <xdr:grpSp>
      <xdr:nvGrpSpPr>
        <xdr:cNvPr id="5145" name="Agrupar 5144">
          <a:extLst>
            <a:ext uri="{FF2B5EF4-FFF2-40B4-BE49-F238E27FC236}">
              <a16:creationId xmlns:a16="http://schemas.microsoft.com/office/drawing/2014/main" id="{00000000-0008-0000-0000-000019140000}"/>
            </a:ext>
          </a:extLst>
        </xdr:cNvPr>
        <xdr:cNvGrpSpPr/>
      </xdr:nvGrpSpPr>
      <xdr:grpSpPr>
        <a:xfrm>
          <a:off x="2034799" y="1166733"/>
          <a:ext cx="1229242" cy="914400"/>
          <a:chOff x="4812423" y="1190625"/>
          <a:chExt cx="1232173" cy="9144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124" name="Drop Down 4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000-000004140000}"/>
                  </a:ext>
                </a:extLst>
              </xdr:cNvPr>
              <xdr:cNvSpPr/>
            </xdr:nvSpPr>
            <xdr:spPr bwMode="auto">
              <a:xfrm>
                <a:off x="4924425" y="1666875"/>
                <a:ext cx="952500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4831535" y="1328737"/>
            <a:ext cx="836925" cy="314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0">
                <a:solidFill>
                  <a:schemeClr val="bg1"/>
                </a:solidFill>
                <a:latin typeface="DIN" panose="00000400000000000000" pitchFamily="2" charset="0"/>
              </a:rPr>
              <a:t>Área:</a:t>
            </a:r>
          </a:p>
        </xdr:txBody>
      </xdr:sp>
      <xdr:sp macro="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812423" y="1190625"/>
            <a:ext cx="1232173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21" name="Gráfico 20" descr="Conexões com preenchimento sólido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81945" y="1355481"/>
            <a:ext cx="233934" cy="230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182218</xdr:colOff>
      <xdr:row>4</xdr:row>
      <xdr:rowOff>124239</xdr:rowOff>
    </xdr:from>
    <xdr:to>
      <xdr:col>13</xdr:col>
      <xdr:colOff>513519</xdr:colOff>
      <xdr:row>4</xdr:row>
      <xdr:rowOff>124239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011018" y="886239"/>
          <a:ext cx="6427301" cy="0"/>
        </a:xfrm>
        <a:prstGeom prst="line">
          <a:avLst/>
        </a:prstGeom>
        <a:ln w="19050">
          <a:solidFill>
            <a:srgbClr val="303A5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18</xdr:col>
      <xdr:colOff>223157</xdr:colOff>
      <xdr:row>1</xdr:row>
      <xdr:rowOff>32706</xdr:rowOff>
    </xdr:from>
    <xdr:to>
      <xdr:col>23</xdr:col>
      <xdr:colOff>380244</xdr:colOff>
      <xdr:row>12</xdr:row>
      <xdr:rowOff>26277</xdr:rowOff>
    </xdr:to>
    <xdr:pic>
      <xdr:nvPicPr>
        <xdr:cNvPr id="23" name="Gráfic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95957" y="223206"/>
          <a:ext cx="3205087" cy="2089071"/>
        </a:xfrm>
        <a:prstGeom prst="rect">
          <a:avLst/>
        </a:prstGeom>
      </xdr:spPr>
    </xdr:pic>
    <xdr:clientData/>
  </xdr:twoCellAnchor>
  <xdr:twoCellAnchor>
    <xdr:from>
      <xdr:col>9</xdr:col>
      <xdr:colOff>573814</xdr:colOff>
      <xdr:row>5</xdr:row>
      <xdr:rowOff>168519</xdr:rowOff>
    </xdr:from>
    <xdr:to>
      <xdr:col>9</xdr:col>
      <xdr:colOff>573814</xdr:colOff>
      <xdr:row>11</xdr:row>
      <xdr:rowOff>58615</xdr:rowOff>
    </xdr:to>
    <xdr:cxnSp macro="">
      <xdr:nvCxnSpPr>
        <xdr:cNvPr id="24" name="Conector re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6090031" y="1121019"/>
          <a:ext cx="0" cy="1033096"/>
        </a:xfrm>
        <a:prstGeom prst="line">
          <a:avLst/>
        </a:prstGeom>
        <a:ln>
          <a:solidFill>
            <a:schemeClr val="bg1">
              <a:lumMod val="95000"/>
              <a:alpha val="41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69610</xdr:colOff>
      <xdr:row>6</xdr:row>
      <xdr:rowOff>19973</xdr:rowOff>
    </xdr:from>
    <xdr:to>
      <xdr:col>12</xdr:col>
      <xdr:colOff>31509</xdr:colOff>
      <xdr:row>10</xdr:row>
      <xdr:rowOff>179893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6150956" y="1162973"/>
          <a:ext cx="1178168" cy="921920"/>
          <a:chOff x="7059387" y="988942"/>
          <a:chExt cx="1181100" cy="921920"/>
        </a:xfrm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7059387" y="996462"/>
            <a:ext cx="1181100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7092397" y="988942"/>
            <a:ext cx="1123950" cy="52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0">
                <a:solidFill>
                  <a:schemeClr val="bg1"/>
                </a:solidFill>
                <a:latin typeface="DIN" panose="00000400000000000000" pitchFamily="2" charset="0"/>
              </a:rPr>
              <a:t>Funcionários</a:t>
            </a:r>
          </a:p>
          <a:p>
            <a:pPr algn="ctr"/>
            <a:r>
              <a:rPr lang="pt-BR" sz="1050" b="0">
                <a:solidFill>
                  <a:schemeClr val="bg1"/>
                </a:solidFill>
                <a:latin typeface="DIN" panose="00000400000000000000" pitchFamily="2" charset="0"/>
              </a:rPr>
              <a:t>Ativos</a:t>
            </a:r>
          </a:p>
        </xdr:txBody>
      </xdr:sp>
      <xdr:sp macro="" textlink="Auxiliar!$AN$5">
        <xdr:nvSpPr>
          <xdr:cNvPr id="28" name="CaixaDeTexto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7087428" y="1364973"/>
            <a:ext cx="1123950" cy="52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F5E71F5-6911-487A-B811-606364493EA4}" type="TxLink">
              <a:rPr lang="en-US" sz="3200" b="0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ctr"/>
              <a:t>39</a:t>
            </a:fld>
            <a:endParaRPr lang="pt-BR" sz="19900" b="0">
              <a:solidFill>
                <a:schemeClr val="bg1"/>
              </a:solidFill>
              <a:latin typeface="DIN" panose="00000400000000000000" pitchFamily="2" charset="0"/>
            </a:endParaRPr>
          </a:p>
        </xdr:txBody>
      </xdr:sp>
    </xdr:grpSp>
    <xdr:clientData/>
  </xdr:twoCellAnchor>
  <xdr:twoCellAnchor>
    <xdr:from>
      <xdr:col>12</xdr:col>
      <xdr:colOff>175249</xdr:colOff>
      <xdr:row>6</xdr:row>
      <xdr:rowOff>19973</xdr:rowOff>
    </xdr:from>
    <xdr:to>
      <xdr:col>14</xdr:col>
      <xdr:colOff>137150</xdr:colOff>
      <xdr:row>10</xdr:row>
      <xdr:rowOff>179893</xdr:rowOff>
    </xdr:to>
    <xdr:grpSp>
      <xdr:nvGrpSpPr>
        <xdr:cNvPr id="5148" name="Agrupar 5147">
          <a:extLst>
            <a:ext uri="{FF2B5EF4-FFF2-40B4-BE49-F238E27FC236}">
              <a16:creationId xmlns:a16="http://schemas.microsoft.com/office/drawing/2014/main" id="{00000000-0008-0000-0000-00001C140000}"/>
            </a:ext>
          </a:extLst>
        </xdr:cNvPr>
        <xdr:cNvGrpSpPr/>
      </xdr:nvGrpSpPr>
      <xdr:grpSpPr>
        <a:xfrm>
          <a:off x="7472864" y="1162973"/>
          <a:ext cx="1178171" cy="921920"/>
          <a:chOff x="8939237" y="1179442"/>
          <a:chExt cx="1183728" cy="921920"/>
        </a:xfrm>
      </xdr:grpSpPr>
      <xdr:sp macro="" textlink="">
        <xdr:nvSpPr>
          <xdr:cNvPr id="30" name="Retângulo: Cantos Arredondados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8939237" y="1186962"/>
            <a:ext cx="1183728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972320" y="1179442"/>
            <a:ext cx="1126451" cy="52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0">
                <a:solidFill>
                  <a:schemeClr val="bg1"/>
                </a:solidFill>
                <a:latin typeface="DIN" panose="00000400000000000000" pitchFamily="2" charset="0"/>
              </a:rPr>
              <a:t>Funcionários</a:t>
            </a:r>
            <a:r>
              <a:rPr lang="pt-BR" sz="1050" b="0" baseline="0">
                <a:solidFill>
                  <a:schemeClr val="bg1"/>
                </a:solidFill>
                <a:latin typeface="DIN" panose="00000400000000000000" pitchFamily="2" charset="0"/>
              </a:rPr>
              <a:t> </a:t>
            </a:r>
            <a:br>
              <a:rPr lang="pt-BR" sz="1050" b="0" baseline="0">
                <a:solidFill>
                  <a:schemeClr val="bg1"/>
                </a:solidFill>
                <a:latin typeface="DIN" panose="00000400000000000000" pitchFamily="2" charset="0"/>
              </a:rPr>
            </a:br>
            <a:r>
              <a:rPr lang="pt-BR" sz="1050" b="0" baseline="0">
                <a:solidFill>
                  <a:schemeClr val="bg1"/>
                </a:solidFill>
                <a:latin typeface="DIN" panose="00000400000000000000" pitchFamily="2" charset="0"/>
              </a:rPr>
              <a:t>Desligados</a:t>
            </a:r>
            <a:endParaRPr lang="pt-BR" sz="1050" b="0">
              <a:solidFill>
                <a:schemeClr val="bg1"/>
              </a:solidFill>
              <a:latin typeface="DIN" panose="00000400000000000000" pitchFamily="2" charset="0"/>
            </a:endParaRPr>
          </a:p>
        </xdr:txBody>
      </xdr:sp>
      <xdr:sp macro="" textlink="Auxiliar!$AN$4">
        <xdr:nvSpPr>
          <xdr:cNvPr id="32" name="CaixaDeTexto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8967340" y="1555473"/>
            <a:ext cx="1126451" cy="52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25C9CDF-A5EC-4ECD-B272-E3B3C78894EA}" type="TxLink">
              <a:rPr lang="en-US" sz="3200" b="0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ctr"/>
              <a:t>5</a:t>
            </a:fld>
            <a:endParaRPr lang="pt-BR" sz="3200" b="0">
              <a:solidFill>
                <a:schemeClr val="bg1"/>
              </a:solidFill>
              <a:latin typeface="DIN" panose="00000400000000000000" pitchFamily="2" charset="0"/>
            </a:endParaRPr>
          </a:p>
        </xdr:txBody>
      </xdr:sp>
    </xdr:grpSp>
    <xdr:clientData/>
  </xdr:twoCellAnchor>
  <xdr:twoCellAnchor>
    <xdr:from>
      <xdr:col>14</xdr:col>
      <xdr:colOff>280891</xdr:colOff>
      <xdr:row>6</xdr:row>
      <xdr:rowOff>27493</xdr:rowOff>
    </xdr:from>
    <xdr:to>
      <xdr:col>16</xdr:col>
      <xdr:colOff>242791</xdr:colOff>
      <xdr:row>10</xdr:row>
      <xdr:rowOff>179893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8794776" y="1170493"/>
          <a:ext cx="1178169" cy="914400"/>
          <a:chOff x="7059387" y="996462"/>
          <a:chExt cx="1181100" cy="914400"/>
        </a:xfrm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7059387" y="996462"/>
            <a:ext cx="1181100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7092397" y="1076867"/>
            <a:ext cx="1123950" cy="355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0">
                <a:solidFill>
                  <a:schemeClr val="bg1"/>
                </a:solidFill>
                <a:latin typeface="DIN" panose="00000400000000000000" pitchFamily="2" charset="0"/>
              </a:rPr>
              <a:t>Turn Over</a:t>
            </a:r>
          </a:p>
        </xdr:txBody>
      </xdr:sp>
      <xdr:sp macro="" textlink="Auxiliar!$AN$6">
        <xdr:nvSpPr>
          <xdr:cNvPr id="36" name="CaixaDeText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 txBox="1"/>
        </xdr:nvSpPr>
        <xdr:spPr>
          <a:xfrm>
            <a:off x="7087428" y="1378790"/>
            <a:ext cx="1123950" cy="52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1F6EA55-0ABF-4852-A868-BF5D25634969}" type="TxLink">
              <a:rPr lang="en-US" sz="3200" b="0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ctr"/>
              <a:t>13%</a:t>
            </a:fld>
            <a:endParaRPr lang="pt-BR" sz="3200" b="0">
              <a:solidFill>
                <a:schemeClr val="bg1"/>
              </a:solidFill>
              <a:latin typeface="DIN" panose="00000400000000000000" pitchFamily="2" charset="0"/>
            </a:endParaRPr>
          </a:p>
        </xdr:txBody>
      </xdr:sp>
    </xdr:grpSp>
    <xdr:clientData/>
  </xdr:twoCellAnchor>
  <xdr:twoCellAnchor>
    <xdr:from>
      <xdr:col>3</xdr:col>
      <xdr:colOff>106017</xdr:colOff>
      <xdr:row>27</xdr:row>
      <xdr:rowOff>0</xdr:rowOff>
    </xdr:from>
    <xdr:to>
      <xdr:col>13</xdr:col>
      <xdr:colOff>117231</xdr:colOff>
      <xdr:row>37</xdr:row>
      <xdr:rowOff>41413</xdr:rowOff>
    </xdr:to>
    <xdr:sp macro="" textlink="">
      <xdr:nvSpPr>
        <xdr:cNvPr id="37" name="Retângulo: Cantos Arredondados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30421" y="5143500"/>
          <a:ext cx="6092560" cy="1946413"/>
        </a:xfrm>
        <a:prstGeom prst="roundRect">
          <a:avLst>
            <a:gd name="adj" fmla="val 8378"/>
          </a:avLst>
        </a:prstGeom>
        <a:solidFill>
          <a:srgbClr val="303A52"/>
        </a:solidFill>
        <a:ln w="285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129210</xdr:colOff>
      <xdr:row>12</xdr:row>
      <xdr:rowOff>35197</xdr:rowOff>
    </xdr:from>
    <xdr:to>
      <xdr:col>8</xdr:col>
      <xdr:colOff>62536</xdr:colOff>
      <xdr:row>26</xdr:row>
      <xdr:rowOff>82410</xdr:rowOff>
    </xdr:to>
    <xdr:sp macro="" textlink="">
      <xdr:nvSpPr>
        <xdr:cNvPr id="39" name="Retângulo: Cantos Arredondados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955222" y="2321197"/>
          <a:ext cx="2976680" cy="2714213"/>
        </a:xfrm>
        <a:prstGeom prst="roundRect">
          <a:avLst>
            <a:gd name="adj" fmla="val 6096"/>
          </a:avLst>
        </a:prstGeom>
        <a:solidFill>
          <a:srgbClr val="303A52"/>
        </a:solidFill>
        <a:ln w="28575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299021</xdr:colOff>
      <xdr:row>12</xdr:row>
      <xdr:rowOff>3829</xdr:rowOff>
    </xdr:from>
    <xdr:to>
      <xdr:col>6</xdr:col>
      <xdr:colOff>549691</xdr:colOff>
      <xdr:row>14</xdr:row>
      <xdr:rowOff>51436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 txBox="1"/>
      </xdr:nvSpPr>
      <xdr:spPr>
        <a:xfrm>
          <a:off x="2742676" y="2289829"/>
          <a:ext cx="1472498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rPr>
            <a:t>Faixa Etária Idade</a:t>
          </a:r>
        </a:p>
      </xdr:txBody>
    </xdr:sp>
    <xdr:clientData/>
  </xdr:twoCellAnchor>
  <xdr:twoCellAnchor>
    <xdr:from>
      <xdr:col>8</xdr:col>
      <xdr:colOff>333066</xdr:colOff>
      <xdr:row>13</xdr:row>
      <xdr:rowOff>23955</xdr:rowOff>
    </xdr:from>
    <xdr:to>
      <xdr:col>12</xdr:col>
      <xdr:colOff>409842</xdr:colOff>
      <xdr:row>23</xdr:row>
      <xdr:rowOff>35441</xdr:rowOff>
    </xdr:to>
    <xdr:sp macro="" textlink="">
      <xdr:nvSpPr>
        <xdr:cNvPr id="5120" name="Retângulo 5119">
          <a:extLst>
            <a:ext uri="{FF2B5EF4-FFF2-40B4-BE49-F238E27FC236}">
              <a16:creationId xmlns:a16="http://schemas.microsoft.com/office/drawing/2014/main" id="{00000000-0008-0000-0000-000000140000}"/>
            </a:ext>
          </a:extLst>
        </xdr:cNvPr>
        <xdr:cNvSpPr/>
      </xdr:nvSpPr>
      <xdr:spPr>
        <a:xfrm>
          <a:off x="5209866" y="2500455"/>
          <a:ext cx="2515176" cy="1916486"/>
        </a:xfrm>
        <a:prstGeom prst="rect">
          <a:avLst/>
        </a:prstGeom>
        <a:solidFill>
          <a:srgbClr val="303A5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521661</xdr:colOff>
      <xdr:row>17</xdr:row>
      <xdr:rowOff>23232</xdr:rowOff>
    </xdr:from>
    <xdr:to>
      <xdr:col>10</xdr:col>
      <xdr:colOff>521661</xdr:colOff>
      <xdr:row>22</xdr:row>
      <xdr:rowOff>130098</xdr:rowOff>
    </xdr:to>
    <xdr:cxnSp macro="">
      <xdr:nvCxnSpPr>
        <xdr:cNvPr id="5131" name="Conector reto 5130">
          <a:extLst>
            <a:ext uri="{FF2B5EF4-FFF2-40B4-BE49-F238E27FC236}">
              <a16:creationId xmlns:a16="http://schemas.microsoft.com/office/drawing/2014/main" id="{00000000-0008-0000-0000-00000B140000}"/>
            </a:ext>
          </a:extLst>
        </xdr:cNvPr>
        <xdr:cNvCxnSpPr/>
      </xdr:nvCxnSpPr>
      <xdr:spPr>
        <a:xfrm>
          <a:off x="6617661" y="3261732"/>
          <a:ext cx="0" cy="1059366"/>
        </a:xfrm>
        <a:prstGeom prst="line">
          <a:avLst/>
        </a:prstGeom>
        <a:ln w="3175">
          <a:solidFill>
            <a:schemeClr val="bg2">
              <a:alpha val="4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216524</xdr:colOff>
      <xdr:row>26</xdr:row>
      <xdr:rowOff>151259</xdr:rowOff>
    </xdr:from>
    <xdr:to>
      <xdr:col>10</xdr:col>
      <xdr:colOff>17938</xdr:colOff>
      <xdr:row>29</xdr:row>
      <xdr:rowOff>8366</xdr:rowOff>
    </xdr:to>
    <xdr:sp macro="" textlink="">
      <xdr:nvSpPr>
        <xdr:cNvPr id="5138" name="CaixaDeTexto 5137">
          <a:extLst>
            <a:ext uri="{FF2B5EF4-FFF2-40B4-BE49-F238E27FC236}">
              <a16:creationId xmlns:a16="http://schemas.microsoft.com/office/drawing/2014/main" id="{00000000-0008-0000-0000-000012140000}"/>
            </a:ext>
          </a:extLst>
        </xdr:cNvPr>
        <xdr:cNvSpPr txBox="1"/>
      </xdr:nvSpPr>
      <xdr:spPr>
        <a:xfrm>
          <a:off x="3894002" y="5104259"/>
          <a:ext cx="2253066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rPr>
            <a:t>Qtd Funcionários por Cargo</a:t>
          </a:r>
        </a:p>
      </xdr:txBody>
    </xdr:sp>
    <xdr:clientData/>
  </xdr:twoCellAnchor>
  <xdr:twoCellAnchor>
    <xdr:from>
      <xdr:col>16</xdr:col>
      <xdr:colOff>458660</xdr:colOff>
      <xdr:row>26</xdr:row>
      <xdr:rowOff>187702</xdr:rowOff>
    </xdr:from>
    <xdr:to>
      <xdr:col>20</xdr:col>
      <xdr:colOff>49695</xdr:colOff>
      <xdr:row>29</xdr:row>
      <xdr:rowOff>44809</xdr:rowOff>
    </xdr:to>
    <xdr:sp macro="" textlink="">
      <xdr:nvSpPr>
        <xdr:cNvPr id="5149" name="CaixaDeTexto 5148">
          <a:extLst>
            <a:ext uri="{FF2B5EF4-FFF2-40B4-BE49-F238E27FC236}">
              <a16:creationId xmlns:a16="http://schemas.microsoft.com/office/drawing/2014/main" id="{00000000-0008-0000-0000-00001D140000}"/>
            </a:ext>
          </a:extLst>
        </xdr:cNvPr>
        <xdr:cNvSpPr txBox="1"/>
      </xdr:nvSpPr>
      <xdr:spPr>
        <a:xfrm>
          <a:off x="10212260" y="5140702"/>
          <a:ext cx="2029435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rPr>
            <a:t>Salários</a:t>
          </a:r>
          <a:r>
            <a:rPr lang="en-US" sz="1200" b="1" i="0" u="none" strike="noStrike" baseline="0">
              <a:solidFill>
                <a:schemeClr val="bg1"/>
              </a:solidFill>
              <a:latin typeface="DIN" panose="00000400000000000000" pitchFamily="2" charset="0"/>
              <a:cs typeface="Calibri"/>
            </a:rPr>
            <a:t> por Cargos</a:t>
          </a:r>
          <a:endParaRPr lang="en-US" sz="1200" b="1" i="0" u="none" strike="noStrike">
            <a:solidFill>
              <a:schemeClr val="bg1"/>
            </a:solidFill>
            <a:latin typeface="DIN" panose="00000400000000000000" pitchFamily="2" charset="0"/>
            <a:cs typeface="Calibri"/>
          </a:endParaRPr>
        </a:p>
      </xdr:txBody>
    </xdr:sp>
    <xdr:clientData/>
  </xdr:twoCellAnchor>
  <xdr:twoCellAnchor>
    <xdr:from>
      <xdr:col>18</xdr:col>
      <xdr:colOff>288311</xdr:colOff>
      <xdr:row>12</xdr:row>
      <xdr:rowOff>59272</xdr:rowOff>
    </xdr:from>
    <xdr:to>
      <xdr:col>23</xdr:col>
      <xdr:colOff>221637</xdr:colOff>
      <xdr:row>26</xdr:row>
      <xdr:rowOff>106485</xdr:rowOff>
    </xdr:to>
    <xdr:grpSp>
      <xdr:nvGrpSpPr>
        <xdr:cNvPr id="5248" name="Agrupar 5247">
          <a:extLst>
            <a:ext uri="{FF2B5EF4-FFF2-40B4-BE49-F238E27FC236}">
              <a16:creationId xmlns:a16="http://schemas.microsoft.com/office/drawing/2014/main" id="{00000000-0008-0000-0000-000080140000}"/>
            </a:ext>
          </a:extLst>
        </xdr:cNvPr>
        <xdr:cNvGrpSpPr/>
      </xdr:nvGrpSpPr>
      <xdr:grpSpPr>
        <a:xfrm>
          <a:off x="11234734" y="2345272"/>
          <a:ext cx="2973999" cy="2714213"/>
          <a:chOff x="11234734" y="2345272"/>
          <a:chExt cx="2973999" cy="2714213"/>
        </a:xfrm>
      </xdr:grpSpPr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GrpSpPr/>
        </xdr:nvGrpSpPr>
        <xdr:grpSpPr>
          <a:xfrm>
            <a:off x="11234734" y="2345272"/>
            <a:ext cx="2973999" cy="2714213"/>
            <a:chOff x="5063892" y="2332083"/>
            <a:chExt cx="2976680" cy="2714213"/>
          </a:xfrm>
        </xdr:grpSpPr>
        <xdr:sp macro="" textlink="">
          <xdr:nvSpPr>
            <xdr:cNvPr id="43" name="Retângulo: Cantos Arredondados 42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/>
          </xdr:nvSpPr>
          <xdr:spPr>
            <a:xfrm>
              <a:off x="5063892" y="2332083"/>
              <a:ext cx="2976680" cy="2714213"/>
            </a:xfrm>
            <a:prstGeom prst="roundRect">
              <a:avLst>
                <a:gd name="adj" fmla="val 6096"/>
              </a:avLst>
            </a:prstGeom>
            <a:solidFill>
              <a:srgbClr val="303A52"/>
            </a:solidFill>
            <a:ln w="285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Retângulo: Cantos Arredondados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5117928" y="2377770"/>
              <a:ext cx="2868608" cy="2622839"/>
            </a:xfrm>
            <a:prstGeom prst="roundRect">
              <a:avLst>
                <a:gd name="adj" fmla="val 4947"/>
              </a:avLst>
            </a:prstGeom>
            <a:noFill/>
            <a:ln w="6350">
              <a:solidFill>
                <a:schemeClr val="bg1">
                  <a:lumMod val="85000"/>
                  <a:alpha val="38000"/>
                </a:schemeClr>
              </a:solidFill>
              <a:extLst>
                <a:ext uri="{C807C97D-BFC1-408E-A445-0C87EB9F89A2}">
                  <ask:lineSketchStyleProps xmlns:ask="http://schemas.microsoft.com/office/drawing/2018/sketchyshapes" sd="2151813841">
                    <a:custGeom>
                      <a:avLst/>
                      <a:gdLst>
                        <a:gd name="connsiteX0" fmla="*/ 0 w 1714500"/>
                        <a:gd name="connsiteY0" fmla="*/ 152403 h 914400"/>
                        <a:gd name="connsiteX1" fmla="*/ 152403 w 1714500"/>
                        <a:gd name="connsiteY1" fmla="*/ 0 h 914400"/>
                        <a:gd name="connsiteX2" fmla="*/ 1562097 w 1714500"/>
                        <a:gd name="connsiteY2" fmla="*/ 0 h 914400"/>
                        <a:gd name="connsiteX3" fmla="*/ 1714500 w 1714500"/>
                        <a:gd name="connsiteY3" fmla="*/ 152403 h 914400"/>
                        <a:gd name="connsiteX4" fmla="*/ 1714500 w 1714500"/>
                        <a:gd name="connsiteY4" fmla="*/ 761997 h 914400"/>
                        <a:gd name="connsiteX5" fmla="*/ 1562097 w 1714500"/>
                        <a:gd name="connsiteY5" fmla="*/ 914400 h 914400"/>
                        <a:gd name="connsiteX6" fmla="*/ 152403 w 1714500"/>
                        <a:gd name="connsiteY6" fmla="*/ 914400 h 914400"/>
                        <a:gd name="connsiteX7" fmla="*/ 0 w 1714500"/>
                        <a:gd name="connsiteY7" fmla="*/ 761997 h 914400"/>
                        <a:gd name="connsiteX8" fmla="*/ 0 w 1714500"/>
                        <a:gd name="connsiteY8" fmla="*/ 152403 h 914400"/>
                      </a:gdLst>
                      <a:ahLst/>
                      <a:cxnLst>
                        <a:cxn ang="0">
                          <a:pos x="connsiteX0" y="connsiteY0"/>
                        </a:cxn>
                        <a:cxn ang="0">
                          <a:pos x="connsiteX1" y="connsiteY1"/>
                        </a:cxn>
                        <a:cxn ang="0">
                          <a:pos x="connsiteX2" y="connsiteY2"/>
                        </a:cxn>
                        <a:cxn ang="0">
                          <a:pos x="connsiteX3" y="connsiteY3"/>
                        </a:cxn>
                        <a:cxn ang="0">
                          <a:pos x="connsiteX4" y="connsiteY4"/>
                        </a:cxn>
                        <a:cxn ang="0">
                          <a:pos x="connsiteX5" y="connsiteY5"/>
                        </a:cxn>
                        <a:cxn ang="0">
                          <a:pos x="connsiteX6" y="connsiteY6"/>
                        </a:cxn>
                        <a:cxn ang="0">
                          <a:pos x="connsiteX7" y="connsiteY7"/>
                        </a:cxn>
                        <a:cxn ang="0">
                          <a:pos x="connsiteX8" y="connsiteY8"/>
                        </a:cxn>
                      </a:cxnLst>
                      <a:rect l="l" t="t" r="r" b="b"/>
                      <a:pathLst>
                        <a:path w="1714500" h="914400" extrusionOk="0">
                          <a:moveTo>
                            <a:pt x="0" y="152403"/>
                          </a:moveTo>
                          <a:cubicBezTo>
                            <a:pt x="-8862" y="69086"/>
                            <a:pt x="61736" y="7245"/>
                            <a:pt x="152403" y="0"/>
                          </a:cubicBezTo>
                          <a:cubicBezTo>
                            <a:pt x="660327" y="64556"/>
                            <a:pt x="1394516" y="-116840"/>
                            <a:pt x="1562097" y="0"/>
                          </a:cubicBezTo>
                          <a:cubicBezTo>
                            <a:pt x="1646575" y="1166"/>
                            <a:pt x="1704627" y="70833"/>
                            <a:pt x="1714500" y="152403"/>
                          </a:cubicBezTo>
                          <a:cubicBezTo>
                            <a:pt x="1762352" y="369575"/>
                            <a:pt x="1674046" y="634059"/>
                            <a:pt x="1714500" y="761997"/>
                          </a:cubicBezTo>
                          <a:cubicBezTo>
                            <a:pt x="1709101" y="843293"/>
                            <a:pt x="1636442" y="913463"/>
                            <a:pt x="1562097" y="914400"/>
                          </a:cubicBezTo>
                          <a:cubicBezTo>
                            <a:pt x="1350670" y="874825"/>
                            <a:pt x="803448" y="980807"/>
                            <a:pt x="152403" y="914400"/>
                          </a:cubicBezTo>
                          <a:cubicBezTo>
                            <a:pt x="56364" y="916963"/>
                            <a:pt x="-4157" y="860602"/>
                            <a:pt x="0" y="761997"/>
                          </a:cubicBezTo>
                          <a:cubicBezTo>
                            <a:pt x="-963" y="667564"/>
                            <a:pt x="21169" y="270706"/>
                            <a:pt x="0" y="152403"/>
                          </a:cubicBezTo>
                          <a:close/>
                        </a:path>
                      </a:pathLst>
                    </a:custGeom>
                    <ask:type>
                      <ask:lineSketchNone/>
                    </ask:type>
                  </ask:lineSketchStyleProps>
                </a:ext>
              </a:extLst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">
        <xdr:nvSpPr>
          <xdr:cNvPr id="5151" name="CaixaDeTexto 5150">
            <a:extLst>
              <a:ext uri="{FF2B5EF4-FFF2-40B4-BE49-F238E27FC236}">
                <a16:creationId xmlns:a16="http://schemas.microsoft.com/office/drawing/2014/main" id="{00000000-0008-0000-0000-00001F140000}"/>
              </a:ext>
            </a:extLst>
          </xdr:cNvPr>
          <xdr:cNvSpPr txBox="1"/>
        </xdr:nvSpPr>
        <xdr:spPr>
          <a:xfrm>
            <a:off x="11724981" y="2359403"/>
            <a:ext cx="2026696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t>Valores</a:t>
            </a:r>
            <a:r>
              <a:rPr lang="en-US" sz="1200" b="1" i="0" u="none" strike="noStrike" baseline="0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t> por Benefícios</a:t>
            </a:r>
            <a:endParaRPr lang="en-US" sz="12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endParaRPr>
          </a:p>
        </xdr:txBody>
      </xdr: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11299642" y="2811081"/>
            <a:ext cx="2827220" cy="2212361"/>
            <a:chOff x="11321623" y="2972275"/>
            <a:chExt cx="2827220" cy="2212361"/>
          </a:xfrm>
        </xdr:grpSpPr>
        <xdr:grpSp>
          <xdr:nvGrpSpPr>
            <xdr:cNvPr id="5337" name="Agrupar 5336">
              <a:extLst>
                <a:ext uri="{FF2B5EF4-FFF2-40B4-BE49-F238E27FC236}">
                  <a16:creationId xmlns:a16="http://schemas.microsoft.com/office/drawing/2014/main" id="{00000000-0008-0000-0000-0000D9140000}"/>
                </a:ext>
              </a:extLst>
            </xdr:cNvPr>
            <xdr:cNvGrpSpPr/>
          </xdr:nvGrpSpPr>
          <xdr:grpSpPr>
            <a:xfrm>
              <a:off x="11321625" y="2972275"/>
              <a:ext cx="942943" cy="798055"/>
              <a:chOff x="11328952" y="2896073"/>
              <a:chExt cx="945874" cy="798055"/>
            </a:xfrm>
          </xdr:grpSpPr>
          <xdr:pic>
            <xdr:nvPicPr>
              <xdr:cNvPr id="5152" name="Gráfico 5151" descr="Combustível com preenchimento sólido">
                <a:extLst>
                  <a:ext uri="{FF2B5EF4-FFF2-40B4-BE49-F238E27FC236}">
                    <a16:creationId xmlns:a16="http://schemas.microsoft.com/office/drawing/2014/main" id="{00000000-0008-0000-0000-00002014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1555067" y="2896073"/>
                <a:ext cx="493644" cy="480392"/>
              </a:xfrm>
              <a:prstGeom prst="rect">
                <a:avLst/>
              </a:prstGeom>
            </xdr:spPr>
          </xdr:pic>
          <xdr:sp macro="" textlink="Auxiliar!$AF$4">
            <xdr:nvSpPr>
              <xdr:cNvPr id="5153" name="CaixaDeTexto 5152">
                <a:extLst>
                  <a:ext uri="{FF2B5EF4-FFF2-40B4-BE49-F238E27FC236}">
                    <a16:creationId xmlns:a16="http://schemas.microsoft.com/office/drawing/2014/main" id="{00000000-0008-0000-0000-000021140000}"/>
                  </a:ext>
                </a:extLst>
              </xdr:cNvPr>
              <xdr:cNvSpPr txBox="1"/>
            </xdr:nvSpPr>
            <xdr:spPr>
              <a:xfrm>
                <a:off x="11328952" y="3265521"/>
                <a:ext cx="945874" cy="42860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88E92434-0360-4F75-87AC-002FBCA1104A}" type="TxLink">
                  <a:rPr lang="en-US" sz="1000" b="0" i="0" u="none" strike="noStrike">
                    <a:solidFill>
                      <a:schemeClr val="bg1"/>
                    </a:solidFill>
                    <a:latin typeface="DIN" panose="00000400000000000000" pitchFamily="2" charset="0"/>
                    <a:cs typeface="Calibri"/>
                  </a:rPr>
                  <a:pPr algn="ctr"/>
                  <a:t>R$7,035k</a:t>
                </a:fld>
                <a:endParaRPr lang="en-US" sz="1000" b="0" i="0" u="none" strike="noStrike">
                  <a:solidFill>
                    <a:schemeClr val="bg1"/>
                  </a:solidFill>
                  <a:latin typeface="DIN" panose="00000400000000000000" pitchFamily="2" charset="0"/>
                  <a:cs typeface="Calibri"/>
                </a:endParaRPr>
              </a:p>
            </xdr:txBody>
          </xdr:sp>
          <xdr:cxnSp macro="">
            <xdr:nvCxnSpPr>
              <xdr:cNvPr id="5336" name="Conector reto 5335">
                <a:extLst>
                  <a:ext uri="{FF2B5EF4-FFF2-40B4-BE49-F238E27FC236}">
                    <a16:creationId xmlns:a16="http://schemas.microsoft.com/office/drawing/2014/main" id="{00000000-0008-0000-0000-0000D8140000}"/>
                  </a:ext>
                </a:extLst>
              </xdr:cNvPr>
              <xdr:cNvCxnSpPr/>
            </xdr:nvCxnSpPr>
            <xdr:spPr>
              <a:xfrm>
                <a:off x="11521582" y="3369129"/>
                <a:ext cx="560614" cy="0"/>
              </a:xfrm>
              <a:prstGeom prst="line">
                <a:avLst/>
              </a:prstGeom>
              <a:ln w="3175">
                <a:solidFill>
                  <a:schemeClr val="bg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5338" name="Agrupar 5337">
              <a:extLst>
                <a:ext uri="{FF2B5EF4-FFF2-40B4-BE49-F238E27FC236}">
                  <a16:creationId xmlns:a16="http://schemas.microsoft.com/office/drawing/2014/main" id="{00000000-0008-0000-0000-0000DA140000}"/>
                </a:ext>
              </a:extLst>
            </xdr:cNvPr>
            <xdr:cNvGrpSpPr/>
          </xdr:nvGrpSpPr>
          <xdr:grpSpPr>
            <a:xfrm>
              <a:off x="12263029" y="2977717"/>
              <a:ext cx="944409" cy="798055"/>
              <a:chOff x="11328952" y="2896073"/>
              <a:chExt cx="945874" cy="798055"/>
            </a:xfrm>
          </xdr:grpSpPr>
          <xdr:pic>
            <xdr:nvPicPr>
              <xdr:cNvPr id="5339" name="Gráfico 5338">
                <a:extLst>
                  <a:ext uri="{FF2B5EF4-FFF2-40B4-BE49-F238E27FC236}">
                    <a16:creationId xmlns:a16="http://schemas.microsoft.com/office/drawing/2014/main" id="{00000000-0008-0000-0000-0000DB14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0"/>
                  </a:ext>
                </a:extLst>
              </a:blip>
              <a:srcRect/>
              <a:stretch/>
            </xdr:blipFill>
            <xdr:spPr>
              <a:xfrm>
                <a:off x="11581690" y="2896073"/>
                <a:ext cx="440399" cy="440399"/>
              </a:xfrm>
              <a:prstGeom prst="rect">
                <a:avLst/>
              </a:prstGeom>
            </xdr:spPr>
          </xdr:pic>
          <xdr:sp macro="" textlink="Auxiliar!$AF$3">
            <xdr:nvSpPr>
              <xdr:cNvPr id="5340" name="CaixaDeTexto 5339">
                <a:extLst>
                  <a:ext uri="{FF2B5EF4-FFF2-40B4-BE49-F238E27FC236}">
                    <a16:creationId xmlns:a16="http://schemas.microsoft.com/office/drawing/2014/main" id="{00000000-0008-0000-0000-0000DC140000}"/>
                  </a:ext>
                </a:extLst>
              </xdr:cNvPr>
              <xdr:cNvSpPr txBox="1"/>
            </xdr:nvSpPr>
            <xdr:spPr>
              <a:xfrm>
                <a:off x="11328952" y="3265521"/>
                <a:ext cx="945874" cy="42860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6CE5715-1509-4463-BAF8-46B683014F7B}" type="TxLink">
                  <a:rPr lang="en-US" sz="1000" b="0" i="0" u="none" strike="noStrike">
                    <a:solidFill>
                      <a:schemeClr val="bg1"/>
                    </a:solidFill>
                    <a:latin typeface="DIN" panose="00000400000000000000" pitchFamily="2" charset="0"/>
                    <a:cs typeface="Calibri"/>
                  </a:rPr>
                  <a:pPr algn="ctr"/>
                  <a:t>R$22,58k</a:t>
                </a:fld>
                <a:endParaRPr lang="en-US" sz="1000" b="0" i="0" u="none" strike="noStrike">
                  <a:solidFill>
                    <a:schemeClr val="bg1"/>
                  </a:solidFill>
                  <a:latin typeface="DIN" panose="00000400000000000000" pitchFamily="2" charset="0"/>
                  <a:cs typeface="Calibri"/>
                </a:endParaRPr>
              </a:p>
            </xdr:txBody>
          </xdr:sp>
          <xdr:cxnSp macro="">
            <xdr:nvCxnSpPr>
              <xdr:cNvPr id="5341" name="Conector reto 5340">
                <a:extLst>
                  <a:ext uri="{FF2B5EF4-FFF2-40B4-BE49-F238E27FC236}">
                    <a16:creationId xmlns:a16="http://schemas.microsoft.com/office/drawing/2014/main" id="{00000000-0008-0000-0000-0000DD140000}"/>
                  </a:ext>
                </a:extLst>
              </xdr:cNvPr>
              <xdr:cNvCxnSpPr/>
            </xdr:nvCxnSpPr>
            <xdr:spPr>
              <a:xfrm>
                <a:off x="11521582" y="3369129"/>
                <a:ext cx="560614" cy="0"/>
              </a:xfrm>
              <a:prstGeom prst="line">
                <a:avLst/>
              </a:prstGeom>
              <a:ln w="3175">
                <a:solidFill>
                  <a:schemeClr val="bg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5342" name="Agrupar 5341">
              <a:extLst>
                <a:ext uri="{FF2B5EF4-FFF2-40B4-BE49-F238E27FC236}">
                  <a16:creationId xmlns:a16="http://schemas.microsoft.com/office/drawing/2014/main" id="{00000000-0008-0000-0000-0000DE140000}"/>
                </a:ext>
              </a:extLst>
            </xdr:cNvPr>
            <xdr:cNvGrpSpPr/>
          </xdr:nvGrpSpPr>
          <xdr:grpSpPr>
            <a:xfrm>
              <a:off x="13205900" y="2983159"/>
              <a:ext cx="942943" cy="798055"/>
              <a:chOff x="11328952" y="2896073"/>
              <a:chExt cx="945874" cy="798055"/>
            </a:xfrm>
          </xdr:grpSpPr>
          <xdr:pic>
            <xdr:nvPicPr>
              <xdr:cNvPr id="5343" name="Gráfico 5342">
                <a:extLst>
                  <a:ext uri="{FF2B5EF4-FFF2-40B4-BE49-F238E27FC236}">
                    <a16:creationId xmlns:a16="http://schemas.microsoft.com/office/drawing/2014/main" id="{00000000-0008-0000-0000-0000DF14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2"/>
                  </a:ext>
                </a:extLst>
              </a:blip>
              <a:srcRect/>
              <a:stretch/>
            </xdr:blipFill>
            <xdr:spPr>
              <a:xfrm>
                <a:off x="11561693" y="2896073"/>
                <a:ext cx="480392" cy="480392"/>
              </a:xfrm>
              <a:prstGeom prst="rect">
                <a:avLst/>
              </a:prstGeom>
            </xdr:spPr>
          </xdr:pic>
          <xdr:sp macro="" textlink="Auxiliar!$AF$5">
            <xdr:nvSpPr>
              <xdr:cNvPr id="5344" name="CaixaDeTexto 5343">
                <a:extLst>
                  <a:ext uri="{FF2B5EF4-FFF2-40B4-BE49-F238E27FC236}">
                    <a16:creationId xmlns:a16="http://schemas.microsoft.com/office/drawing/2014/main" id="{00000000-0008-0000-0000-0000E0140000}"/>
                  </a:ext>
                </a:extLst>
              </xdr:cNvPr>
              <xdr:cNvSpPr txBox="1"/>
            </xdr:nvSpPr>
            <xdr:spPr>
              <a:xfrm>
                <a:off x="11328952" y="3265521"/>
                <a:ext cx="945874" cy="42860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C506E9DA-C3E6-4416-AFD5-0362CE54E262}" type="TxLink">
                  <a:rPr lang="en-US" sz="1000" b="0" i="0" u="none" strike="noStrike">
                    <a:solidFill>
                      <a:schemeClr val="bg1"/>
                    </a:solidFill>
                    <a:latin typeface="DIN" panose="00000400000000000000" pitchFamily="2" charset="0"/>
                    <a:cs typeface="Calibri"/>
                  </a:rPr>
                  <a:pPr algn="ctr"/>
                  <a:t> R$ 240,00 </a:t>
                </a:fld>
                <a:endParaRPr lang="en-US" sz="1000" b="0" i="0" u="none" strike="noStrike">
                  <a:solidFill>
                    <a:schemeClr val="bg1"/>
                  </a:solidFill>
                  <a:latin typeface="DIN" panose="00000400000000000000" pitchFamily="2" charset="0"/>
                  <a:cs typeface="Calibri"/>
                </a:endParaRPr>
              </a:p>
            </xdr:txBody>
          </xdr:sp>
          <xdr:cxnSp macro="">
            <xdr:nvCxnSpPr>
              <xdr:cNvPr id="5345" name="Conector reto 5344">
                <a:extLst>
                  <a:ext uri="{FF2B5EF4-FFF2-40B4-BE49-F238E27FC236}">
                    <a16:creationId xmlns:a16="http://schemas.microsoft.com/office/drawing/2014/main" id="{00000000-0008-0000-0000-0000E1140000}"/>
                  </a:ext>
                </a:extLst>
              </xdr:cNvPr>
              <xdr:cNvCxnSpPr/>
            </xdr:nvCxnSpPr>
            <xdr:spPr>
              <a:xfrm>
                <a:off x="11521582" y="3369129"/>
                <a:ext cx="560614" cy="0"/>
              </a:xfrm>
              <a:prstGeom prst="line">
                <a:avLst/>
              </a:prstGeom>
              <a:ln w="3175">
                <a:solidFill>
                  <a:schemeClr val="bg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5346" name="Agrupar 5345">
              <a:extLst>
                <a:ext uri="{FF2B5EF4-FFF2-40B4-BE49-F238E27FC236}">
                  <a16:creationId xmlns:a16="http://schemas.microsoft.com/office/drawing/2014/main" id="{00000000-0008-0000-0000-0000E2140000}"/>
                </a:ext>
              </a:extLst>
            </xdr:cNvPr>
            <xdr:cNvGrpSpPr/>
          </xdr:nvGrpSpPr>
          <xdr:grpSpPr>
            <a:xfrm>
              <a:off x="11321623" y="3941103"/>
              <a:ext cx="2167246" cy="1243533"/>
              <a:chOff x="11328952" y="2896073"/>
              <a:chExt cx="2173983" cy="1243533"/>
            </a:xfrm>
          </xdr:grpSpPr>
          <xdr:pic>
            <xdr:nvPicPr>
              <xdr:cNvPr id="5347" name="Gráfico 5346">
                <a:extLst>
                  <a:ext uri="{FF2B5EF4-FFF2-40B4-BE49-F238E27FC236}">
                    <a16:creationId xmlns:a16="http://schemas.microsoft.com/office/drawing/2014/main" id="{00000000-0008-0000-0000-0000E314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3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4"/>
                  </a:ext>
                </a:extLst>
              </a:blip>
              <a:srcRect/>
              <a:stretch/>
            </xdr:blipFill>
            <xdr:spPr>
              <a:xfrm>
                <a:off x="11561693" y="2896073"/>
                <a:ext cx="480392" cy="480392"/>
              </a:xfrm>
              <a:prstGeom prst="rect">
                <a:avLst/>
              </a:prstGeom>
            </xdr:spPr>
          </xdr:pic>
          <xdr:sp macro="" textlink="Auxiliar!$AF$6">
            <xdr:nvSpPr>
              <xdr:cNvPr id="5348" name="CaixaDeTexto 5347">
                <a:extLst>
                  <a:ext uri="{FF2B5EF4-FFF2-40B4-BE49-F238E27FC236}">
                    <a16:creationId xmlns:a16="http://schemas.microsoft.com/office/drawing/2014/main" id="{00000000-0008-0000-0000-0000E4140000}"/>
                  </a:ext>
                </a:extLst>
              </xdr:cNvPr>
              <xdr:cNvSpPr txBox="1"/>
            </xdr:nvSpPr>
            <xdr:spPr>
              <a:xfrm>
                <a:off x="11328952" y="3265521"/>
                <a:ext cx="945874" cy="42860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B1A0358-8B3D-469B-84AC-417E1A8BF9CE}" type="TxLink">
                  <a:rPr lang="en-US" sz="1000" b="0" i="0" u="none" strike="noStrike">
                    <a:solidFill>
                      <a:schemeClr val="bg1"/>
                    </a:solidFill>
                    <a:latin typeface="DIN" panose="00000400000000000000" pitchFamily="2" charset="0"/>
                    <a:cs typeface="Calibri"/>
                  </a:rPr>
                  <a:pPr algn="ctr"/>
                  <a:t>R$6,14k</a:t>
                </a:fld>
                <a:endParaRPr lang="en-US" sz="1000" b="0" i="0" u="none" strike="noStrike">
                  <a:solidFill>
                    <a:schemeClr val="bg1"/>
                  </a:solidFill>
                  <a:latin typeface="DIN" panose="00000400000000000000" pitchFamily="2" charset="0"/>
                  <a:cs typeface="Calibri"/>
                </a:endParaRPr>
              </a:p>
            </xdr:txBody>
          </xdr:sp>
          <xdr:cxnSp macro="">
            <xdr:nvCxnSpPr>
              <xdr:cNvPr id="5349" name="Conector reto 5348">
                <a:extLst>
                  <a:ext uri="{FF2B5EF4-FFF2-40B4-BE49-F238E27FC236}">
                    <a16:creationId xmlns:a16="http://schemas.microsoft.com/office/drawing/2014/main" id="{00000000-0008-0000-0000-0000E5140000}"/>
                  </a:ext>
                </a:extLst>
              </xdr:cNvPr>
              <xdr:cNvCxnSpPr/>
            </xdr:nvCxnSpPr>
            <xdr:spPr>
              <a:xfrm>
                <a:off x="11521582" y="3369129"/>
                <a:ext cx="560614" cy="0"/>
              </a:xfrm>
              <a:prstGeom prst="line">
                <a:avLst/>
              </a:prstGeom>
              <a:ln w="3175">
                <a:solidFill>
                  <a:schemeClr val="bg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Auxiliar!$AE$9">
            <xdr:nvSpPr>
              <xdr:cNvPr id="46" name="CaixaDeTexto 45">
                <a:extLst>
                  <a:ext uri="{FF2B5EF4-FFF2-40B4-BE49-F238E27FC236}">
                    <a16:creationId xmlns:a16="http://schemas.microsoft.com/office/drawing/2014/main" id="{00000000-0008-0000-0000-00002E000000}"/>
                  </a:ext>
                </a:extLst>
              </xdr:cNvPr>
              <xdr:cNvSpPr txBox="1"/>
            </xdr:nvSpPr>
            <xdr:spPr>
              <a:xfrm>
                <a:off x="11930158" y="3710999"/>
                <a:ext cx="1572777" cy="42860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163C912-5967-4D2F-9026-71D60F418B43}" type="TxLink">
                  <a:rPr lang="en-US" sz="1500" b="0" i="0" u="none" strike="noStrike">
                    <a:solidFill>
                      <a:srgbClr val="FFFFFF"/>
                    </a:solidFill>
                    <a:latin typeface="DIN" panose="00000400000000000000" pitchFamily="2" charset="0"/>
                    <a:cs typeface="Calibri"/>
                  </a:rPr>
                  <a:pPr algn="ctr"/>
                  <a:t> R$ 61.885,00 </a:t>
                </a:fld>
                <a:endParaRPr lang="en-US" sz="1500" b="0" i="0" u="none" strike="noStrike">
                  <a:solidFill>
                    <a:schemeClr val="bg1"/>
                  </a:solidFill>
                  <a:latin typeface="DIN" panose="00000400000000000000" pitchFamily="2" charset="0"/>
                  <a:cs typeface="Calibri"/>
                </a:endParaRPr>
              </a:p>
            </xdr:txBody>
          </xdr:sp>
        </xdr:grpSp>
        <xdr:grpSp>
          <xdr:nvGrpSpPr>
            <xdr:cNvPr id="5350" name="Agrupar 5349">
              <a:extLst>
                <a:ext uri="{FF2B5EF4-FFF2-40B4-BE49-F238E27FC236}">
                  <a16:creationId xmlns:a16="http://schemas.microsoft.com/office/drawing/2014/main" id="{00000000-0008-0000-0000-0000E6140000}"/>
                </a:ext>
              </a:extLst>
            </xdr:cNvPr>
            <xdr:cNvGrpSpPr/>
          </xdr:nvGrpSpPr>
          <xdr:grpSpPr>
            <a:xfrm>
              <a:off x="12263029" y="3946545"/>
              <a:ext cx="944409" cy="798055"/>
              <a:chOff x="11328952" y="2896073"/>
              <a:chExt cx="945874" cy="798055"/>
            </a:xfrm>
          </xdr:grpSpPr>
          <xdr:pic>
            <xdr:nvPicPr>
              <xdr:cNvPr id="5351" name="Gráfico 5350">
                <a:extLst>
                  <a:ext uri="{FF2B5EF4-FFF2-40B4-BE49-F238E27FC236}">
                    <a16:creationId xmlns:a16="http://schemas.microsoft.com/office/drawing/2014/main" id="{00000000-0008-0000-0000-0000E714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6"/>
                  </a:ext>
                </a:extLst>
              </a:blip>
              <a:srcRect/>
              <a:stretch/>
            </xdr:blipFill>
            <xdr:spPr>
              <a:xfrm>
                <a:off x="11561693" y="2896073"/>
                <a:ext cx="480392" cy="480392"/>
              </a:xfrm>
              <a:prstGeom prst="rect">
                <a:avLst/>
              </a:prstGeom>
            </xdr:spPr>
          </xdr:pic>
          <xdr:sp macro="" textlink="Auxiliar!$AF$7">
            <xdr:nvSpPr>
              <xdr:cNvPr id="5352" name="CaixaDeTexto 5351">
                <a:extLst>
                  <a:ext uri="{FF2B5EF4-FFF2-40B4-BE49-F238E27FC236}">
                    <a16:creationId xmlns:a16="http://schemas.microsoft.com/office/drawing/2014/main" id="{00000000-0008-0000-0000-0000E8140000}"/>
                  </a:ext>
                </a:extLst>
              </xdr:cNvPr>
              <xdr:cNvSpPr txBox="1"/>
            </xdr:nvSpPr>
            <xdr:spPr>
              <a:xfrm>
                <a:off x="11328952" y="3265521"/>
                <a:ext cx="945874" cy="42860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A98B26E5-0F57-4259-8BA7-D79E2174B68D}" type="TxLink">
                  <a:rPr lang="en-US" sz="1000" b="0" i="0" u="none" strike="noStrike">
                    <a:solidFill>
                      <a:schemeClr val="bg1"/>
                    </a:solidFill>
                    <a:latin typeface="DIN" panose="00000400000000000000" pitchFamily="2" charset="0"/>
                    <a:cs typeface="Calibri"/>
                  </a:rPr>
                  <a:pPr algn="ctr"/>
                  <a:t>R$15,7k</a:t>
                </a:fld>
                <a:endParaRPr lang="en-US" sz="1000" b="0" i="0" u="none" strike="noStrike">
                  <a:solidFill>
                    <a:schemeClr val="bg1"/>
                  </a:solidFill>
                  <a:latin typeface="DIN" panose="00000400000000000000" pitchFamily="2" charset="0"/>
                  <a:cs typeface="Calibri"/>
                </a:endParaRPr>
              </a:p>
            </xdr:txBody>
          </xdr:sp>
          <xdr:cxnSp macro="">
            <xdr:nvCxnSpPr>
              <xdr:cNvPr id="5353" name="Conector reto 5352">
                <a:extLst>
                  <a:ext uri="{FF2B5EF4-FFF2-40B4-BE49-F238E27FC236}">
                    <a16:creationId xmlns:a16="http://schemas.microsoft.com/office/drawing/2014/main" id="{00000000-0008-0000-0000-0000E9140000}"/>
                  </a:ext>
                </a:extLst>
              </xdr:cNvPr>
              <xdr:cNvCxnSpPr/>
            </xdr:nvCxnSpPr>
            <xdr:spPr>
              <a:xfrm>
                <a:off x="11521582" y="3369129"/>
                <a:ext cx="560614" cy="0"/>
              </a:xfrm>
              <a:prstGeom prst="line">
                <a:avLst/>
              </a:prstGeom>
              <a:ln w="3175">
                <a:solidFill>
                  <a:schemeClr val="bg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5354" name="Agrupar 5353">
              <a:extLst>
                <a:ext uri="{FF2B5EF4-FFF2-40B4-BE49-F238E27FC236}">
                  <a16:creationId xmlns:a16="http://schemas.microsoft.com/office/drawing/2014/main" id="{00000000-0008-0000-0000-0000EA140000}"/>
                </a:ext>
              </a:extLst>
            </xdr:cNvPr>
            <xdr:cNvGrpSpPr/>
          </xdr:nvGrpSpPr>
          <xdr:grpSpPr>
            <a:xfrm>
              <a:off x="13205900" y="3951987"/>
              <a:ext cx="942943" cy="798055"/>
              <a:chOff x="11328952" y="2896073"/>
              <a:chExt cx="945874" cy="798055"/>
            </a:xfrm>
          </xdr:grpSpPr>
          <xdr:pic>
            <xdr:nvPicPr>
              <xdr:cNvPr id="5355" name="Gráfico 5354">
                <a:extLst>
                  <a:ext uri="{FF2B5EF4-FFF2-40B4-BE49-F238E27FC236}">
                    <a16:creationId xmlns:a16="http://schemas.microsoft.com/office/drawing/2014/main" id="{00000000-0008-0000-0000-0000EB14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7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8"/>
                  </a:ext>
                </a:extLst>
              </a:blip>
              <a:srcRect/>
              <a:stretch/>
            </xdr:blipFill>
            <xdr:spPr>
              <a:xfrm>
                <a:off x="11561693" y="2896073"/>
                <a:ext cx="480392" cy="480392"/>
              </a:xfrm>
              <a:prstGeom prst="rect">
                <a:avLst/>
              </a:prstGeom>
            </xdr:spPr>
          </xdr:pic>
          <xdr:sp macro="" textlink="Auxiliar!$AF$8">
            <xdr:nvSpPr>
              <xdr:cNvPr id="5356" name="CaixaDeTexto 5355">
                <a:extLst>
                  <a:ext uri="{FF2B5EF4-FFF2-40B4-BE49-F238E27FC236}">
                    <a16:creationId xmlns:a16="http://schemas.microsoft.com/office/drawing/2014/main" id="{00000000-0008-0000-0000-0000EC140000}"/>
                  </a:ext>
                </a:extLst>
              </xdr:cNvPr>
              <xdr:cNvSpPr txBox="1"/>
            </xdr:nvSpPr>
            <xdr:spPr>
              <a:xfrm>
                <a:off x="11328952" y="3265521"/>
                <a:ext cx="945874" cy="42860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49246CCC-2011-489C-807C-5CCEFFE40273}" type="TxLink">
                  <a:rPr lang="en-US" sz="1000" b="0" i="0" u="none" strike="noStrike">
                    <a:solidFill>
                      <a:schemeClr val="bg1"/>
                    </a:solidFill>
                    <a:latin typeface="DIN" panose="00000400000000000000" pitchFamily="2" charset="0"/>
                    <a:cs typeface="Calibri"/>
                  </a:rPr>
                  <a:pPr algn="ctr"/>
                  <a:t>R$10,19k</a:t>
                </a:fld>
                <a:endParaRPr lang="en-US" sz="1000" b="0" i="0" u="none" strike="noStrike">
                  <a:solidFill>
                    <a:schemeClr val="bg1"/>
                  </a:solidFill>
                  <a:latin typeface="DIN" panose="00000400000000000000" pitchFamily="2" charset="0"/>
                  <a:cs typeface="Calibri"/>
                </a:endParaRPr>
              </a:p>
            </xdr:txBody>
          </xdr:sp>
          <xdr:cxnSp macro="">
            <xdr:nvCxnSpPr>
              <xdr:cNvPr id="5357" name="Conector reto 5356">
                <a:extLst>
                  <a:ext uri="{FF2B5EF4-FFF2-40B4-BE49-F238E27FC236}">
                    <a16:creationId xmlns:a16="http://schemas.microsoft.com/office/drawing/2014/main" id="{00000000-0008-0000-0000-0000ED140000}"/>
                  </a:ext>
                </a:extLst>
              </xdr:cNvPr>
              <xdr:cNvCxnSpPr/>
            </xdr:nvCxnSpPr>
            <xdr:spPr>
              <a:xfrm>
                <a:off x="11521582" y="3369129"/>
                <a:ext cx="560614" cy="0"/>
              </a:xfrm>
              <a:prstGeom prst="line">
                <a:avLst/>
              </a:prstGeom>
              <a:ln w="3175">
                <a:solidFill>
                  <a:schemeClr val="bg2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3</xdr:col>
      <xdr:colOff>183331</xdr:colOff>
      <xdr:row>12</xdr:row>
      <xdr:rowOff>80884</xdr:rowOff>
    </xdr:from>
    <xdr:to>
      <xdr:col>8</xdr:col>
      <xdr:colOff>8416</xdr:colOff>
      <xdr:row>26</xdr:row>
      <xdr:rowOff>36723</xdr:rowOff>
    </xdr:to>
    <xdr:sp macro="" textlink="">
      <xdr:nvSpPr>
        <xdr:cNvPr id="5368" name="Retângulo: Cantos Arredondados 5367">
          <a:extLst>
            <a:ext uri="{FF2B5EF4-FFF2-40B4-BE49-F238E27FC236}">
              <a16:creationId xmlns:a16="http://schemas.microsoft.com/office/drawing/2014/main" id="{00000000-0008-0000-0000-0000F8140000}"/>
            </a:ext>
          </a:extLst>
        </xdr:cNvPr>
        <xdr:cNvSpPr/>
      </xdr:nvSpPr>
      <xdr:spPr>
        <a:xfrm>
          <a:off x="2009343" y="2366884"/>
          <a:ext cx="2868439" cy="2622839"/>
        </a:xfrm>
        <a:prstGeom prst="roundRect">
          <a:avLst>
            <a:gd name="adj" fmla="val 4947"/>
          </a:avLst>
        </a:prstGeom>
        <a:noFill/>
        <a:ln w="6350">
          <a:solidFill>
            <a:schemeClr val="bg1">
              <a:lumMod val="85000"/>
              <a:alpha val="38000"/>
            </a:schemeClr>
          </a:solidFill>
          <a:extLst>
            <a:ext uri="{C807C97D-BFC1-408E-A445-0C87EB9F89A2}">
              <ask:lineSketchStyleProps xmlns:ask="http://schemas.microsoft.com/office/drawing/2018/sketchyshapes" sd="2151813841">
                <a:custGeom>
                  <a:avLst/>
                  <a:gdLst>
                    <a:gd name="connsiteX0" fmla="*/ 0 w 1714500"/>
                    <a:gd name="connsiteY0" fmla="*/ 152403 h 914400"/>
                    <a:gd name="connsiteX1" fmla="*/ 152403 w 1714500"/>
                    <a:gd name="connsiteY1" fmla="*/ 0 h 914400"/>
                    <a:gd name="connsiteX2" fmla="*/ 1562097 w 1714500"/>
                    <a:gd name="connsiteY2" fmla="*/ 0 h 914400"/>
                    <a:gd name="connsiteX3" fmla="*/ 1714500 w 1714500"/>
                    <a:gd name="connsiteY3" fmla="*/ 152403 h 914400"/>
                    <a:gd name="connsiteX4" fmla="*/ 1714500 w 1714500"/>
                    <a:gd name="connsiteY4" fmla="*/ 761997 h 914400"/>
                    <a:gd name="connsiteX5" fmla="*/ 1562097 w 1714500"/>
                    <a:gd name="connsiteY5" fmla="*/ 914400 h 914400"/>
                    <a:gd name="connsiteX6" fmla="*/ 152403 w 1714500"/>
                    <a:gd name="connsiteY6" fmla="*/ 914400 h 914400"/>
                    <a:gd name="connsiteX7" fmla="*/ 0 w 1714500"/>
                    <a:gd name="connsiteY7" fmla="*/ 761997 h 914400"/>
                    <a:gd name="connsiteX8" fmla="*/ 0 w 1714500"/>
                    <a:gd name="connsiteY8" fmla="*/ 152403 h 9144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714500" h="914400" extrusionOk="0">
                      <a:moveTo>
                        <a:pt x="0" y="152403"/>
                      </a:moveTo>
                      <a:cubicBezTo>
                        <a:pt x="-8862" y="69086"/>
                        <a:pt x="61736" y="7245"/>
                        <a:pt x="152403" y="0"/>
                      </a:cubicBezTo>
                      <a:cubicBezTo>
                        <a:pt x="660327" y="64556"/>
                        <a:pt x="1394516" y="-116840"/>
                        <a:pt x="1562097" y="0"/>
                      </a:cubicBezTo>
                      <a:cubicBezTo>
                        <a:pt x="1646575" y="1166"/>
                        <a:pt x="1704627" y="70833"/>
                        <a:pt x="1714500" y="152403"/>
                      </a:cubicBezTo>
                      <a:cubicBezTo>
                        <a:pt x="1762352" y="369575"/>
                        <a:pt x="1674046" y="634059"/>
                        <a:pt x="1714500" y="761997"/>
                      </a:cubicBezTo>
                      <a:cubicBezTo>
                        <a:pt x="1709101" y="843293"/>
                        <a:pt x="1636442" y="913463"/>
                        <a:pt x="1562097" y="914400"/>
                      </a:cubicBezTo>
                      <a:cubicBezTo>
                        <a:pt x="1350670" y="874825"/>
                        <a:pt x="803448" y="980807"/>
                        <a:pt x="152403" y="914400"/>
                      </a:cubicBezTo>
                      <a:cubicBezTo>
                        <a:pt x="56364" y="916963"/>
                        <a:pt x="-4157" y="860602"/>
                        <a:pt x="0" y="761997"/>
                      </a:cubicBezTo>
                      <a:cubicBezTo>
                        <a:pt x="-963" y="667564"/>
                        <a:pt x="21169" y="270706"/>
                        <a:pt x="0" y="152403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184005</xdr:colOff>
      <xdr:row>12</xdr:row>
      <xdr:rowOff>46083</xdr:rowOff>
    </xdr:from>
    <xdr:to>
      <xdr:col>13</xdr:col>
      <xdr:colOff>117331</xdr:colOff>
      <xdr:row>26</xdr:row>
      <xdr:rowOff>93296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5049082" y="2332083"/>
          <a:ext cx="2973999" cy="2714213"/>
          <a:chOff x="5063892" y="2332083"/>
          <a:chExt cx="2976680" cy="2714213"/>
        </a:xfrm>
      </xdr:grpSpPr>
      <xdr:sp macro="" textlink="">
        <xdr:nvSpPr>
          <xdr:cNvPr id="5370" name="Retângulo: Cantos Arredondados 5369">
            <a:extLst>
              <a:ext uri="{FF2B5EF4-FFF2-40B4-BE49-F238E27FC236}">
                <a16:creationId xmlns:a16="http://schemas.microsoft.com/office/drawing/2014/main" id="{00000000-0008-0000-0000-0000FA140000}"/>
              </a:ext>
            </a:extLst>
          </xdr:cNvPr>
          <xdr:cNvSpPr/>
        </xdr:nvSpPr>
        <xdr:spPr>
          <a:xfrm>
            <a:off x="5063892" y="2332083"/>
            <a:ext cx="2976680" cy="2714213"/>
          </a:xfrm>
          <a:prstGeom prst="roundRect">
            <a:avLst>
              <a:gd name="adj" fmla="val 6096"/>
            </a:avLst>
          </a:prstGeom>
          <a:solidFill>
            <a:srgbClr val="303A52"/>
          </a:solidFill>
          <a:ln w="285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371" name="Retângulo: Cantos Arredondados 5370">
            <a:extLst>
              <a:ext uri="{FF2B5EF4-FFF2-40B4-BE49-F238E27FC236}">
                <a16:creationId xmlns:a16="http://schemas.microsoft.com/office/drawing/2014/main" id="{00000000-0008-0000-0000-0000FB140000}"/>
              </a:ext>
            </a:extLst>
          </xdr:cNvPr>
          <xdr:cNvSpPr/>
        </xdr:nvSpPr>
        <xdr:spPr>
          <a:xfrm>
            <a:off x="5117928" y="2377770"/>
            <a:ext cx="2868608" cy="2622839"/>
          </a:xfrm>
          <a:prstGeom prst="roundRect">
            <a:avLst>
              <a:gd name="adj" fmla="val 4947"/>
            </a:avLst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8</xdr:col>
      <xdr:colOff>494849</xdr:colOff>
      <xdr:row>12</xdr:row>
      <xdr:rowOff>7142</xdr:rowOff>
    </xdr:from>
    <xdr:to>
      <xdr:col>12</xdr:col>
      <xdr:colOff>415694</xdr:colOff>
      <xdr:row>14</xdr:row>
      <xdr:rowOff>54749</xdr:rowOff>
    </xdr:to>
    <xdr:sp macro="" textlink="">
      <xdr:nvSpPr>
        <xdr:cNvPr id="5125" name="CaixaDeTexto 5124">
          <a:extLst>
            <a:ext uri="{FF2B5EF4-FFF2-40B4-BE49-F238E27FC236}">
              <a16:creationId xmlns:a16="http://schemas.microsoft.com/office/drawing/2014/main" id="{00000000-0008-0000-0000-000005140000}"/>
            </a:ext>
          </a:extLst>
        </xdr:cNvPr>
        <xdr:cNvSpPr txBox="1"/>
      </xdr:nvSpPr>
      <xdr:spPr>
        <a:xfrm>
          <a:off x="5352599" y="2293142"/>
          <a:ext cx="2349720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rPr>
            <a:t>Qtd Funcionários</a:t>
          </a:r>
          <a:r>
            <a:rPr lang="en-US" sz="1200" b="1" i="0" u="none" strike="noStrike" baseline="0">
              <a:solidFill>
                <a:schemeClr val="bg1"/>
              </a:solidFill>
              <a:latin typeface="DIN" panose="00000400000000000000" pitchFamily="2" charset="0"/>
              <a:cs typeface="Calibri"/>
            </a:rPr>
            <a:t> por Gênero</a:t>
          </a:r>
          <a:endParaRPr lang="en-US" sz="1200" b="1" i="0" u="none" strike="noStrike">
            <a:solidFill>
              <a:schemeClr val="bg1"/>
            </a:solidFill>
            <a:latin typeface="DIN" panose="00000400000000000000" pitchFamily="2" charset="0"/>
            <a:cs typeface="Calibri"/>
          </a:endParaRPr>
        </a:p>
      </xdr:txBody>
    </xdr:sp>
    <xdr:clientData/>
  </xdr:twoCellAnchor>
  <xdr:twoCellAnchor>
    <xdr:from>
      <xdr:col>9</xdr:col>
      <xdr:colOff>119061</xdr:colOff>
      <xdr:row>14</xdr:row>
      <xdr:rowOff>125015</xdr:rowOff>
    </xdr:from>
    <xdr:to>
      <xdr:col>12</xdr:col>
      <xdr:colOff>289319</xdr:colOff>
      <xdr:row>25</xdr:row>
      <xdr:rowOff>21429</xdr:rowOff>
    </xdr:to>
    <xdr:grpSp>
      <xdr:nvGrpSpPr>
        <xdr:cNvPr id="5251" name="Agrupar 5250">
          <a:extLst>
            <a:ext uri="{FF2B5EF4-FFF2-40B4-BE49-F238E27FC236}">
              <a16:creationId xmlns:a16="http://schemas.microsoft.com/office/drawing/2014/main" id="{00000000-0008-0000-0000-000083140000}"/>
            </a:ext>
          </a:extLst>
        </xdr:cNvPr>
        <xdr:cNvGrpSpPr/>
      </xdr:nvGrpSpPr>
      <xdr:grpSpPr>
        <a:xfrm>
          <a:off x="5592273" y="2792015"/>
          <a:ext cx="1994661" cy="1991914"/>
          <a:chOff x="8185548" y="2774156"/>
          <a:chExt cx="1991914" cy="1991914"/>
        </a:xfrm>
      </xdr:grpSpPr>
      <xdr:sp macro="" textlink="">
        <xdr:nvSpPr>
          <xdr:cNvPr id="5249" name="Elipse 5248">
            <a:extLst>
              <a:ext uri="{FF2B5EF4-FFF2-40B4-BE49-F238E27FC236}">
                <a16:creationId xmlns:a16="http://schemas.microsoft.com/office/drawing/2014/main" id="{00000000-0008-0000-0000-000081140000}"/>
              </a:ext>
            </a:extLst>
          </xdr:cNvPr>
          <xdr:cNvSpPr/>
        </xdr:nvSpPr>
        <xdr:spPr>
          <a:xfrm>
            <a:off x="8185548" y="2774156"/>
            <a:ext cx="1991914" cy="1991914"/>
          </a:xfrm>
          <a:prstGeom prst="ellipse">
            <a:avLst/>
          </a:prstGeom>
          <a:solidFill>
            <a:srgbClr val="69738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50" name="Elipse 5249">
            <a:extLst>
              <a:ext uri="{FF2B5EF4-FFF2-40B4-BE49-F238E27FC236}">
                <a16:creationId xmlns:a16="http://schemas.microsoft.com/office/drawing/2014/main" id="{00000000-0008-0000-0000-000082140000}"/>
              </a:ext>
            </a:extLst>
          </xdr:cNvPr>
          <xdr:cNvSpPr/>
        </xdr:nvSpPr>
        <xdr:spPr>
          <a:xfrm>
            <a:off x="8473934" y="3062542"/>
            <a:ext cx="1415144" cy="1415143"/>
          </a:xfrm>
          <a:prstGeom prst="ellipse">
            <a:avLst/>
          </a:prstGeom>
          <a:solidFill>
            <a:srgbClr val="303A5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8</xdr:col>
      <xdr:colOff>544455</xdr:colOff>
      <xdr:row>13</xdr:row>
      <xdr:rowOff>177363</xdr:rowOff>
    </xdr:from>
    <xdr:to>
      <xdr:col>12</xdr:col>
      <xdr:colOff>473449</xdr:colOff>
      <xdr:row>25</xdr:row>
      <xdr:rowOff>159655</xdr:rowOff>
    </xdr:to>
    <xdr:graphicFrame macro="">
      <xdr:nvGraphicFramePr>
        <xdr:cNvPr id="5130" name="Gráfico 5129">
          <a:extLst>
            <a:ext uri="{FF2B5EF4-FFF2-40B4-BE49-F238E27FC236}">
              <a16:creationId xmlns:a16="http://schemas.microsoft.com/office/drawing/2014/main" id="{00000000-0008-0000-0000-00000A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473363</xdr:colOff>
      <xdr:row>17</xdr:row>
      <xdr:rowOff>41814</xdr:rowOff>
    </xdr:from>
    <xdr:to>
      <xdr:col>11</xdr:col>
      <xdr:colOff>539612</xdr:colOff>
      <xdr:row>22</xdr:row>
      <xdr:rowOff>17026</xdr:rowOff>
    </xdr:to>
    <xdr:grpSp>
      <xdr:nvGrpSpPr>
        <xdr:cNvPr id="5132" name="Agrupar 5131">
          <a:extLst>
            <a:ext uri="{FF2B5EF4-FFF2-40B4-BE49-F238E27FC236}">
              <a16:creationId xmlns:a16="http://schemas.microsoft.com/office/drawing/2014/main" id="{00000000-0008-0000-0000-00000C140000}"/>
            </a:ext>
          </a:extLst>
        </xdr:cNvPr>
        <xdr:cNvGrpSpPr/>
      </xdr:nvGrpSpPr>
      <xdr:grpSpPr>
        <a:xfrm>
          <a:off x="6554709" y="3280314"/>
          <a:ext cx="674384" cy="927712"/>
          <a:chOff x="6558619" y="3305163"/>
          <a:chExt cx="675414" cy="927712"/>
        </a:xfrm>
      </xdr:grpSpPr>
      <xdr:pic>
        <xdr:nvPicPr>
          <xdr:cNvPr id="5133" name="Gráfico 5132" descr="Mulher com preenchimento sólido">
            <a:extLst>
              <a:ext uri="{FF2B5EF4-FFF2-40B4-BE49-F238E27FC236}">
                <a16:creationId xmlns:a16="http://schemas.microsoft.com/office/drawing/2014/main" id="{00000000-0008-0000-0000-00000D1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6612154" y="3680855"/>
            <a:ext cx="568344" cy="552020"/>
          </a:xfrm>
          <a:prstGeom prst="rect">
            <a:avLst/>
          </a:prstGeom>
        </xdr:spPr>
      </xdr:pic>
      <xdr:sp macro="" textlink="Auxiliar!$X$3">
        <xdr:nvSpPr>
          <xdr:cNvPr id="5134" name="CaixaDeTexto 5133">
            <a:extLst>
              <a:ext uri="{FF2B5EF4-FFF2-40B4-BE49-F238E27FC236}">
                <a16:creationId xmlns:a16="http://schemas.microsoft.com/office/drawing/2014/main" id="{00000000-0008-0000-0000-00000E140000}"/>
              </a:ext>
            </a:extLst>
          </xdr:cNvPr>
          <xdr:cNvSpPr txBox="1"/>
        </xdr:nvSpPr>
        <xdr:spPr>
          <a:xfrm>
            <a:off x="6558619" y="3305163"/>
            <a:ext cx="675414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B299198-C5D6-48D3-830A-963698D70E75}" type="TxLink">
              <a:rPr lang="en-US" sz="1100" b="1" i="0" u="none" strike="noStrike">
                <a:solidFill>
                  <a:srgbClr val="F37168"/>
                </a:solidFill>
                <a:latin typeface="DIN" panose="00000400000000000000" pitchFamily="2" charset="0"/>
                <a:cs typeface="Calibri"/>
              </a:rPr>
              <a:pPr algn="ctr"/>
              <a:t>48,72%</a:t>
            </a:fld>
            <a:endParaRPr lang="en-US" sz="1200" b="1" i="0" u="none" strike="noStrike">
              <a:solidFill>
                <a:srgbClr val="F37168"/>
              </a:solidFill>
              <a:latin typeface="DIN" panose="00000400000000000000" pitchFamily="2" charset="0"/>
              <a:cs typeface="Calibri"/>
            </a:endParaRPr>
          </a:p>
        </xdr:txBody>
      </xdr:sp>
    </xdr:grpSp>
    <xdr:clientData/>
  </xdr:twoCellAnchor>
  <xdr:twoCellAnchor>
    <xdr:from>
      <xdr:col>9</xdr:col>
      <xdr:colOff>460899</xdr:colOff>
      <xdr:row>17</xdr:row>
      <xdr:rowOff>44137</xdr:rowOff>
    </xdr:from>
    <xdr:to>
      <xdr:col>10</xdr:col>
      <xdr:colOff>527147</xdr:colOff>
      <xdr:row>22</xdr:row>
      <xdr:rowOff>14703</xdr:rowOff>
    </xdr:to>
    <xdr:grpSp>
      <xdr:nvGrpSpPr>
        <xdr:cNvPr id="5135" name="Agrupar 5134">
          <a:extLst>
            <a:ext uri="{FF2B5EF4-FFF2-40B4-BE49-F238E27FC236}">
              <a16:creationId xmlns:a16="http://schemas.microsoft.com/office/drawing/2014/main" id="{00000000-0008-0000-0000-00000F140000}"/>
            </a:ext>
          </a:extLst>
        </xdr:cNvPr>
        <xdr:cNvGrpSpPr/>
      </xdr:nvGrpSpPr>
      <xdr:grpSpPr>
        <a:xfrm>
          <a:off x="5934111" y="3282637"/>
          <a:ext cx="674382" cy="923066"/>
          <a:chOff x="5951263" y="3305163"/>
          <a:chExt cx="675413" cy="923066"/>
        </a:xfrm>
      </xdr:grpSpPr>
      <xdr:pic>
        <xdr:nvPicPr>
          <xdr:cNvPr id="5136" name="Gráfico 5135" descr="Homem com preenchimento sólido">
            <a:extLst>
              <a:ext uri="{FF2B5EF4-FFF2-40B4-BE49-F238E27FC236}">
                <a16:creationId xmlns:a16="http://schemas.microsoft.com/office/drawing/2014/main" id="{00000000-0008-0000-0000-0000101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003891" y="3658914"/>
            <a:ext cx="570156" cy="569315"/>
          </a:xfrm>
          <a:prstGeom prst="rect">
            <a:avLst/>
          </a:prstGeom>
        </xdr:spPr>
      </xdr:pic>
      <xdr:sp macro="" textlink="Auxiliar!$X$4">
        <xdr:nvSpPr>
          <xdr:cNvPr id="5137" name="CaixaDeTexto 5136">
            <a:extLst>
              <a:ext uri="{FF2B5EF4-FFF2-40B4-BE49-F238E27FC236}">
                <a16:creationId xmlns:a16="http://schemas.microsoft.com/office/drawing/2014/main" id="{00000000-0008-0000-0000-000011140000}"/>
              </a:ext>
            </a:extLst>
          </xdr:cNvPr>
          <xdr:cNvSpPr txBox="1"/>
        </xdr:nvSpPr>
        <xdr:spPr>
          <a:xfrm>
            <a:off x="5951263" y="3305163"/>
            <a:ext cx="675413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5E5DB3E-104D-44B8-9855-702CFCB4A0A0}" type="TxLink">
              <a:rPr lang="en-US" sz="1100" b="0" i="0" u="none" strike="noStrike">
                <a:solidFill>
                  <a:srgbClr val="A2DFF2"/>
                </a:solidFill>
                <a:latin typeface="DIN" panose="00000400000000000000" pitchFamily="2" charset="0"/>
                <a:cs typeface="Calibri"/>
              </a:rPr>
              <a:pPr algn="ctr"/>
              <a:t>51,28%</a:t>
            </a:fld>
            <a:endParaRPr lang="en-US" sz="1200" b="1" i="0" u="none" strike="noStrike">
              <a:solidFill>
                <a:srgbClr val="A2DFF2"/>
              </a:solidFill>
              <a:latin typeface="DIN" panose="00000400000000000000" pitchFamily="2" charset="0"/>
              <a:cs typeface="Calibri"/>
            </a:endParaRPr>
          </a:p>
        </xdr:txBody>
      </xdr:sp>
    </xdr:grpSp>
    <xdr:clientData/>
  </xdr:twoCellAnchor>
  <xdr:twoCellAnchor>
    <xdr:from>
      <xdr:col>8</xdr:col>
      <xdr:colOff>337057</xdr:colOff>
      <xdr:row>23</xdr:row>
      <xdr:rowOff>101079</xdr:rowOff>
    </xdr:from>
    <xdr:to>
      <xdr:col>9</xdr:col>
      <xdr:colOff>303959</xdr:colOff>
      <xdr:row>25</xdr:row>
      <xdr:rowOff>148686</xdr:rowOff>
    </xdr:to>
    <xdr:sp macro="" textlink="Auxiliar!$W$4">
      <xdr:nvSpPr>
        <xdr:cNvPr id="5373" name="CaixaDeTexto 5372">
          <a:extLst>
            <a:ext uri="{FF2B5EF4-FFF2-40B4-BE49-F238E27FC236}">
              <a16:creationId xmlns:a16="http://schemas.microsoft.com/office/drawing/2014/main" id="{00000000-0008-0000-0000-0000FD140000}"/>
            </a:ext>
          </a:extLst>
        </xdr:cNvPr>
        <xdr:cNvSpPr txBox="1"/>
      </xdr:nvSpPr>
      <xdr:spPr>
        <a:xfrm>
          <a:off x="5194807" y="4482579"/>
          <a:ext cx="574121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5AE122-081B-4D3E-9E2D-5A6C30262C9C}" type="TxLink">
            <a:rPr lang="en-US" sz="2800" b="0" i="0" u="none" strike="noStrike">
              <a:solidFill>
                <a:srgbClr val="A2DFF2"/>
              </a:solidFill>
              <a:latin typeface="DIN" panose="00000400000000000000" pitchFamily="2" charset="0"/>
              <a:cs typeface="Calibri"/>
            </a:rPr>
            <a:pPr algn="ctr"/>
            <a:t>20</a:t>
          </a:fld>
          <a:endParaRPr lang="en-US" sz="2800" b="1" i="0" u="none" strike="noStrike">
            <a:solidFill>
              <a:srgbClr val="A2DFF2"/>
            </a:solidFill>
            <a:latin typeface="DIN" panose="00000400000000000000" pitchFamily="2" charset="0"/>
            <a:cs typeface="Calibri"/>
          </a:endParaRPr>
        </a:p>
      </xdr:txBody>
    </xdr:sp>
    <xdr:clientData/>
  </xdr:twoCellAnchor>
  <xdr:twoCellAnchor>
    <xdr:from>
      <xdr:col>12</xdr:col>
      <xdr:colOff>89956</xdr:colOff>
      <xdr:row>23</xdr:row>
      <xdr:rowOff>101079</xdr:rowOff>
    </xdr:from>
    <xdr:to>
      <xdr:col>13</xdr:col>
      <xdr:colOff>56858</xdr:colOff>
      <xdr:row>25</xdr:row>
      <xdr:rowOff>148686</xdr:rowOff>
    </xdr:to>
    <xdr:sp macro="" textlink="Auxiliar!$W$3">
      <xdr:nvSpPr>
        <xdr:cNvPr id="5374" name="CaixaDeTexto 5373">
          <a:extLst>
            <a:ext uri="{FF2B5EF4-FFF2-40B4-BE49-F238E27FC236}">
              <a16:creationId xmlns:a16="http://schemas.microsoft.com/office/drawing/2014/main" id="{00000000-0008-0000-0000-0000FE140000}"/>
            </a:ext>
          </a:extLst>
        </xdr:cNvPr>
        <xdr:cNvSpPr txBox="1"/>
      </xdr:nvSpPr>
      <xdr:spPr>
        <a:xfrm>
          <a:off x="7376581" y="4482579"/>
          <a:ext cx="574121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B59E977-86A4-4EE8-849F-7BB1EB6F1A19}" type="TxLink">
            <a:rPr lang="en-US" sz="2800" b="0" i="0" u="none" strike="noStrike">
              <a:solidFill>
                <a:srgbClr val="F37168"/>
              </a:solidFill>
              <a:latin typeface="DIN" panose="00000400000000000000" pitchFamily="2" charset="0"/>
              <a:cs typeface="Calibri"/>
            </a:rPr>
            <a:pPr algn="ctr"/>
            <a:t>19</a:t>
          </a:fld>
          <a:endParaRPr lang="en-US" sz="2800" b="0" i="0" u="none" strike="noStrike">
            <a:solidFill>
              <a:srgbClr val="F37168"/>
            </a:solidFill>
            <a:latin typeface="DIN" panose="00000400000000000000" pitchFamily="2" charset="0"/>
            <a:cs typeface="Calibri"/>
          </a:endParaRPr>
        </a:p>
      </xdr:txBody>
    </xdr:sp>
    <xdr:clientData/>
  </xdr:twoCellAnchor>
  <xdr:twoCellAnchor>
    <xdr:from>
      <xdr:col>18</xdr:col>
      <xdr:colOff>483577</xdr:colOff>
      <xdr:row>24</xdr:row>
      <xdr:rowOff>58615</xdr:rowOff>
    </xdr:from>
    <xdr:to>
      <xdr:col>23</xdr:col>
      <xdr:colOff>36635</xdr:colOff>
      <xdr:row>24</xdr:row>
      <xdr:rowOff>58615</xdr:rowOff>
    </xdr:to>
    <xdr:cxnSp macro="">
      <xdr:nvCxnSpPr>
        <xdr:cNvPr id="47" name="Conector reto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>
          <a:off x="11430000" y="4630615"/>
          <a:ext cx="2593731" cy="0"/>
        </a:xfrm>
        <a:prstGeom prst="line">
          <a:avLst/>
        </a:prstGeom>
        <a:ln w="3175">
          <a:solidFill>
            <a:schemeClr val="bg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168519</xdr:colOff>
      <xdr:row>27</xdr:row>
      <xdr:rowOff>58615</xdr:rowOff>
    </xdr:from>
    <xdr:to>
      <xdr:col>13</xdr:col>
      <xdr:colOff>65942</xdr:colOff>
      <xdr:row>36</xdr:row>
      <xdr:rowOff>161193</xdr:rowOff>
    </xdr:to>
    <xdr:sp macro="" textlink="">
      <xdr:nvSpPr>
        <xdr:cNvPr id="61" name="Retângulo: Cantos Arredondados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>
          <a:off x="2007258" y="5202115"/>
          <a:ext cx="6026554" cy="1817078"/>
        </a:xfrm>
        <a:prstGeom prst="roundRect">
          <a:avLst>
            <a:gd name="adj" fmla="val 4947"/>
          </a:avLst>
        </a:prstGeom>
        <a:noFill/>
        <a:ln w="6350">
          <a:solidFill>
            <a:schemeClr val="bg1">
              <a:lumMod val="85000"/>
              <a:alpha val="38000"/>
            </a:schemeClr>
          </a:solidFill>
          <a:extLst>
            <a:ext uri="{C807C97D-BFC1-408E-A445-0C87EB9F89A2}">
              <ask:lineSketchStyleProps xmlns:ask="http://schemas.microsoft.com/office/drawing/2018/sketchyshapes" sd="2151813841">
                <a:custGeom>
                  <a:avLst/>
                  <a:gdLst>
                    <a:gd name="connsiteX0" fmla="*/ 0 w 1714500"/>
                    <a:gd name="connsiteY0" fmla="*/ 152403 h 914400"/>
                    <a:gd name="connsiteX1" fmla="*/ 152403 w 1714500"/>
                    <a:gd name="connsiteY1" fmla="*/ 0 h 914400"/>
                    <a:gd name="connsiteX2" fmla="*/ 1562097 w 1714500"/>
                    <a:gd name="connsiteY2" fmla="*/ 0 h 914400"/>
                    <a:gd name="connsiteX3" fmla="*/ 1714500 w 1714500"/>
                    <a:gd name="connsiteY3" fmla="*/ 152403 h 914400"/>
                    <a:gd name="connsiteX4" fmla="*/ 1714500 w 1714500"/>
                    <a:gd name="connsiteY4" fmla="*/ 761997 h 914400"/>
                    <a:gd name="connsiteX5" fmla="*/ 1562097 w 1714500"/>
                    <a:gd name="connsiteY5" fmla="*/ 914400 h 914400"/>
                    <a:gd name="connsiteX6" fmla="*/ 152403 w 1714500"/>
                    <a:gd name="connsiteY6" fmla="*/ 914400 h 914400"/>
                    <a:gd name="connsiteX7" fmla="*/ 0 w 1714500"/>
                    <a:gd name="connsiteY7" fmla="*/ 761997 h 914400"/>
                    <a:gd name="connsiteX8" fmla="*/ 0 w 1714500"/>
                    <a:gd name="connsiteY8" fmla="*/ 152403 h 9144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714500" h="914400" extrusionOk="0">
                      <a:moveTo>
                        <a:pt x="0" y="152403"/>
                      </a:moveTo>
                      <a:cubicBezTo>
                        <a:pt x="-8862" y="69086"/>
                        <a:pt x="61736" y="7245"/>
                        <a:pt x="152403" y="0"/>
                      </a:cubicBezTo>
                      <a:cubicBezTo>
                        <a:pt x="660327" y="64556"/>
                        <a:pt x="1394516" y="-116840"/>
                        <a:pt x="1562097" y="0"/>
                      </a:cubicBezTo>
                      <a:cubicBezTo>
                        <a:pt x="1646575" y="1166"/>
                        <a:pt x="1704627" y="70833"/>
                        <a:pt x="1714500" y="152403"/>
                      </a:cubicBezTo>
                      <a:cubicBezTo>
                        <a:pt x="1762352" y="369575"/>
                        <a:pt x="1674046" y="634059"/>
                        <a:pt x="1714500" y="761997"/>
                      </a:cubicBezTo>
                      <a:cubicBezTo>
                        <a:pt x="1709101" y="843293"/>
                        <a:pt x="1636442" y="913463"/>
                        <a:pt x="1562097" y="914400"/>
                      </a:cubicBezTo>
                      <a:cubicBezTo>
                        <a:pt x="1350670" y="874825"/>
                        <a:pt x="803448" y="980807"/>
                        <a:pt x="152403" y="914400"/>
                      </a:cubicBezTo>
                      <a:cubicBezTo>
                        <a:pt x="56364" y="916963"/>
                        <a:pt x="-4157" y="860602"/>
                        <a:pt x="0" y="761997"/>
                      </a:cubicBezTo>
                      <a:cubicBezTo>
                        <a:pt x="-963" y="667564"/>
                        <a:pt x="21169" y="270706"/>
                        <a:pt x="0" y="152403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80973</xdr:colOff>
      <xdr:row>12</xdr:row>
      <xdr:rowOff>41928</xdr:rowOff>
    </xdr:from>
    <xdr:to>
      <xdr:col>17</xdr:col>
      <xdr:colOff>284921</xdr:colOff>
      <xdr:row>14</xdr:row>
      <xdr:rowOff>89535</xdr:rowOff>
    </xdr:to>
    <xdr:sp macro="" textlink="">
      <xdr:nvSpPr>
        <xdr:cNvPr id="5160" name="CaixaDeTexto 5159">
          <a:extLst>
            <a:ext uri="{FF2B5EF4-FFF2-40B4-BE49-F238E27FC236}">
              <a16:creationId xmlns:a16="http://schemas.microsoft.com/office/drawing/2014/main" id="{00000000-0008-0000-0000-000028140000}"/>
            </a:ext>
          </a:extLst>
        </xdr:cNvPr>
        <xdr:cNvSpPr txBox="1"/>
      </xdr:nvSpPr>
      <xdr:spPr>
        <a:xfrm>
          <a:off x="8661756" y="2327928"/>
          <a:ext cx="2042687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rPr>
            <a:t>Qtd</a:t>
          </a:r>
          <a:r>
            <a:rPr lang="en-US" sz="1200" b="1" i="0" u="none" strike="noStrike" baseline="0">
              <a:solidFill>
                <a:schemeClr val="bg1"/>
              </a:solidFill>
              <a:latin typeface="DIN" panose="00000400000000000000" pitchFamily="2" charset="0"/>
              <a:cs typeface="Calibri"/>
            </a:rPr>
            <a:t> por Área</a:t>
          </a:r>
          <a:endParaRPr lang="en-US" sz="1200" b="1" i="0" u="none" strike="noStrike">
            <a:solidFill>
              <a:schemeClr val="bg1"/>
            </a:solidFill>
            <a:latin typeface="DIN" panose="00000400000000000000" pitchFamily="2" charset="0"/>
            <a:cs typeface="Calibri"/>
          </a:endParaRPr>
        </a:p>
      </xdr:txBody>
    </xdr:sp>
    <xdr:clientData/>
  </xdr:twoCellAnchor>
  <xdr:twoCellAnchor>
    <xdr:from>
      <xdr:col>13</xdr:col>
      <xdr:colOff>172857</xdr:colOff>
      <xdr:row>12</xdr:row>
      <xdr:rowOff>20280</xdr:rowOff>
    </xdr:from>
    <xdr:to>
      <xdr:col>18</xdr:col>
      <xdr:colOff>232786</xdr:colOff>
      <xdr:row>28</xdr:row>
      <xdr:rowOff>129755</xdr:rowOff>
    </xdr:to>
    <xdr:grpSp>
      <xdr:nvGrpSpPr>
        <xdr:cNvPr id="5247" name="Agrupar 5246">
          <a:extLst>
            <a:ext uri="{FF2B5EF4-FFF2-40B4-BE49-F238E27FC236}">
              <a16:creationId xmlns:a16="http://schemas.microsoft.com/office/drawing/2014/main" id="{00000000-0008-0000-0000-00007F140000}"/>
            </a:ext>
          </a:extLst>
        </xdr:cNvPr>
        <xdr:cNvGrpSpPr/>
      </xdr:nvGrpSpPr>
      <xdr:grpSpPr>
        <a:xfrm>
          <a:off x="8078607" y="2306280"/>
          <a:ext cx="3100602" cy="3157475"/>
          <a:chOff x="8101050" y="2306280"/>
          <a:chExt cx="3100602" cy="3157475"/>
        </a:xfrm>
      </xdr:grpSpPr>
      <xdr:grpSp>
        <xdr:nvGrpSpPr>
          <xdr:cNvPr id="5166" name="Agrupar 5165">
            <a:extLst>
              <a:ext uri="{FF2B5EF4-FFF2-40B4-BE49-F238E27FC236}">
                <a16:creationId xmlns:a16="http://schemas.microsoft.com/office/drawing/2014/main" id="{00000000-0008-0000-0000-00002E140000}"/>
              </a:ext>
            </a:extLst>
          </xdr:cNvPr>
          <xdr:cNvGrpSpPr/>
        </xdr:nvGrpSpPr>
        <xdr:grpSpPr>
          <a:xfrm>
            <a:off x="8167354" y="2338553"/>
            <a:ext cx="2984011" cy="2723308"/>
            <a:chOff x="8203483" y="2347647"/>
            <a:chExt cx="2987895" cy="2714213"/>
          </a:xfrm>
        </xdr:grpSpPr>
        <xdr:sp macro="" textlink="">
          <xdr:nvSpPr>
            <xdr:cNvPr id="5127" name="Retângulo: Cantos Arredondados 5126">
              <a:extLs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>
            <a:xfrm>
              <a:off x="8203483" y="2347647"/>
              <a:ext cx="2987895" cy="2714213"/>
            </a:xfrm>
            <a:prstGeom prst="roundRect">
              <a:avLst>
                <a:gd name="adj" fmla="val 5937"/>
              </a:avLst>
            </a:prstGeom>
            <a:solidFill>
              <a:srgbClr val="303A52"/>
            </a:solidFill>
            <a:ln w="28575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164" name="Retângulo: Cantos Arredondados 5163">
              <a:extLst>
                <a:ext uri="{FF2B5EF4-FFF2-40B4-BE49-F238E27FC236}">
                  <a16:creationId xmlns:a16="http://schemas.microsoft.com/office/drawing/2014/main" id="{00000000-0008-0000-0000-00002C140000}"/>
                </a:ext>
              </a:extLst>
            </xdr:cNvPr>
            <xdr:cNvSpPr/>
          </xdr:nvSpPr>
          <xdr:spPr>
            <a:xfrm>
              <a:off x="8257603" y="2393334"/>
              <a:ext cx="2879654" cy="2622839"/>
            </a:xfrm>
            <a:prstGeom prst="roundRect">
              <a:avLst>
                <a:gd name="adj" fmla="val 4947"/>
              </a:avLst>
            </a:prstGeom>
            <a:noFill/>
            <a:ln w="6350">
              <a:solidFill>
                <a:schemeClr val="bg1">
                  <a:lumMod val="85000"/>
                  <a:alpha val="38000"/>
                </a:schemeClr>
              </a:solidFill>
              <a:extLst>
                <a:ext uri="{C807C97D-BFC1-408E-A445-0C87EB9F89A2}">
                  <ask:lineSketchStyleProps xmlns:ask="http://schemas.microsoft.com/office/drawing/2018/sketchyshapes" sd="2151813841">
                    <a:custGeom>
                      <a:avLst/>
                      <a:gdLst>
                        <a:gd name="connsiteX0" fmla="*/ 0 w 1714500"/>
                        <a:gd name="connsiteY0" fmla="*/ 152403 h 914400"/>
                        <a:gd name="connsiteX1" fmla="*/ 152403 w 1714500"/>
                        <a:gd name="connsiteY1" fmla="*/ 0 h 914400"/>
                        <a:gd name="connsiteX2" fmla="*/ 1562097 w 1714500"/>
                        <a:gd name="connsiteY2" fmla="*/ 0 h 914400"/>
                        <a:gd name="connsiteX3" fmla="*/ 1714500 w 1714500"/>
                        <a:gd name="connsiteY3" fmla="*/ 152403 h 914400"/>
                        <a:gd name="connsiteX4" fmla="*/ 1714500 w 1714500"/>
                        <a:gd name="connsiteY4" fmla="*/ 761997 h 914400"/>
                        <a:gd name="connsiteX5" fmla="*/ 1562097 w 1714500"/>
                        <a:gd name="connsiteY5" fmla="*/ 914400 h 914400"/>
                        <a:gd name="connsiteX6" fmla="*/ 152403 w 1714500"/>
                        <a:gd name="connsiteY6" fmla="*/ 914400 h 914400"/>
                        <a:gd name="connsiteX7" fmla="*/ 0 w 1714500"/>
                        <a:gd name="connsiteY7" fmla="*/ 761997 h 914400"/>
                        <a:gd name="connsiteX8" fmla="*/ 0 w 1714500"/>
                        <a:gd name="connsiteY8" fmla="*/ 152403 h 914400"/>
                      </a:gdLst>
                      <a:ahLst/>
                      <a:cxnLst>
                        <a:cxn ang="0">
                          <a:pos x="connsiteX0" y="connsiteY0"/>
                        </a:cxn>
                        <a:cxn ang="0">
                          <a:pos x="connsiteX1" y="connsiteY1"/>
                        </a:cxn>
                        <a:cxn ang="0">
                          <a:pos x="connsiteX2" y="connsiteY2"/>
                        </a:cxn>
                        <a:cxn ang="0">
                          <a:pos x="connsiteX3" y="connsiteY3"/>
                        </a:cxn>
                        <a:cxn ang="0">
                          <a:pos x="connsiteX4" y="connsiteY4"/>
                        </a:cxn>
                        <a:cxn ang="0">
                          <a:pos x="connsiteX5" y="connsiteY5"/>
                        </a:cxn>
                        <a:cxn ang="0">
                          <a:pos x="connsiteX6" y="connsiteY6"/>
                        </a:cxn>
                        <a:cxn ang="0">
                          <a:pos x="connsiteX7" y="connsiteY7"/>
                        </a:cxn>
                        <a:cxn ang="0">
                          <a:pos x="connsiteX8" y="connsiteY8"/>
                        </a:cxn>
                      </a:cxnLst>
                      <a:rect l="l" t="t" r="r" b="b"/>
                      <a:pathLst>
                        <a:path w="1714500" h="914400" extrusionOk="0">
                          <a:moveTo>
                            <a:pt x="0" y="152403"/>
                          </a:moveTo>
                          <a:cubicBezTo>
                            <a:pt x="-8862" y="69086"/>
                            <a:pt x="61736" y="7245"/>
                            <a:pt x="152403" y="0"/>
                          </a:cubicBezTo>
                          <a:cubicBezTo>
                            <a:pt x="660327" y="64556"/>
                            <a:pt x="1394516" y="-116840"/>
                            <a:pt x="1562097" y="0"/>
                          </a:cubicBezTo>
                          <a:cubicBezTo>
                            <a:pt x="1646575" y="1166"/>
                            <a:pt x="1704627" y="70833"/>
                            <a:pt x="1714500" y="152403"/>
                          </a:cubicBezTo>
                          <a:cubicBezTo>
                            <a:pt x="1762352" y="369575"/>
                            <a:pt x="1674046" y="634059"/>
                            <a:pt x="1714500" y="761997"/>
                          </a:cubicBezTo>
                          <a:cubicBezTo>
                            <a:pt x="1709101" y="843293"/>
                            <a:pt x="1636442" y="913463"/>
                            <a:pt x="1562097" y="914400"/>
                          </a:cubicBezTo>
                          <a:cubicBezTo>
                            <a:pt x="1350670" y="874825"/>
                            <a:pt x="803448" y="980807"/>
                            <a:pt x="152403" y="914400"/>
                          </a:cubicBezTo>
                          <a:cubicBezTo>
                            <a:pt x="56364" y="916963"/>
                            <a:pt x="-4157" y="860602"/>
                            <a:pt x="0" y="761997"/>
                          </a:cubicBezTo>
                          <a:cubicBezTo>
                            <a:pt x="-963" y="667564"/>
                            <a:pt x="21169" y="270706"/>
                            <a:pt x="0" y="152403"/>
                          </a:cubicBezTo>
                          <a:close/>
                        </a:path>
                      </a:pathLst>
                    </a:custGeom>
                    <ask:type>
                      <ask:lineSketchNone/>
                    </ask:type>
                  </ask:lineSketchStyleProps>
                </a:ext>
              </a:extLst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aphicFrame macro="">
        <xdr:nvGraphicFramePr>
          <xdr:cNvPr id="5163" name="Gráfico 5162">
            <a:extLst>
              <a:ext uri="{FF2B5EF4-FFF2-40B4-BE49-F238E27FC236}">
                <a16:creationId xmlns:a16="http://schemas.microsoft.com/office/drawing/2014/main" id="{00000000-0008-0000-0000-00002B140000}"/>
              </a:ext>
            </a:extLst>
          </xdr:cNvPr>
          <xdr:cNvGraphicFramePr>
            <a:graphicFrameLocks/>
          </xdr:cNvGraphicFramePr>
        </xdr:nvGraphicFramePr>
        <xdr:xfrm>
          <a:off x="8101050" y="2351689"/>
          <a:ext cx="3100602" cy="31120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5169" name="CaixaDeTexto 5168">
            <a:extLst>
              <a:ext uri="{FF2B5EF4-FFF2-40B4-BE49-F238E27FC236}">
                <a16:creationId xmlns:a16="http://schemas.microsoft.com/office/drawing/2014/main" id="{00000000-0008-0000-0000-000031140000}"/>
              </a:ext>
            </a:extLst>
          </xdr:cNvPr>
          <xdr:cNvSpPr txBox="1"/>
        </xdr:nvSpPr>
        <xdr:spPr>
          <a:xfrm>
            <a:off x="8331536" y="2306280"/>
            <a:ext cx="2655647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t>Tempo de Empresa</a:t>
            </a:r>
          </a:p>
        </xdr:txBody>
      </xdr:sp>
      <xdr:sp macro="" textlink="">
        <xdr:nvSpPr>
          <xdr:cNvPr id="5170" name="CaixaDeTexto 5169">
            <a:extLst>
              <a:ext uri="{FF2B5EF4-FFF2-40B4-BE49-F238E27FC236}">
                <a16:creationId xmlns:a16="http://schemas.microsoft.com/office/drawing/2014/main" id="{00000000-0008-0000-0000-000032140000}"/>
              </a:ext>
            </a:extLst>
          </xdr:cNvPr>
          <xdr:cNvSpPr txBox="1"/>
        </xdr:nvSpPr>
        <xdr:spPr>
          <a:xfrm>
            <a:off x="8306574" y="4652715"/>
            <a:ext cx="2655647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900" b="1" i="0" u="none" strike="noStrike" baseline="0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t>Período em dias</a:t>
            </a:r>
            <a:endParaRPr lang="en-US" sz="9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endParaRPr>
          </a:p>
        </xdr:txBody>
      </xdr:sp>
    </xdr:grpSp>
    <xdr:clientData/>
  </xdr:twoCellAnchor>
  <xdr:twoCellAnchor>
    <xdr:from>
      <xdr:col>13</xdr:col>
      <xdr:colOff>249116</xdr:colOff>
      <xdr:row>27</xdr:row>
      <xdr:rowOff>3313</xdr:rowOff>
    </xdr:from>
    <xdr:to>
      <xdr:col>23</xdr:col>
      <xdr:colOff>293206</xdr:colOff>
      <xdr:row>37</xdr:row>
      <xdr:rowOff>44726</xdr:rowOff>
    </xdr:to>
    <xdr:grpSp>
      <xdr:nvGrpSpPr>
        <xdr:cNvPr id="5175" name="Agrupar 5174">
          <a:extLst>
            <a:ext uri="{FF2B5EF4-FFF2-40B4-BE49-F238E27FC236}">
              <a16:creationId xmlns:a16="http://schemas.microsoft.com/office/drawing/2014/main" id="{00000000-0008-0000-0000-000037140000}"/>
            </a:ext>
          </a:extLst>
        </xdr:cNvPr>
        <xdr:cNvGrpSpPr/>
      </xdr:nvGrpSpPr>
      <xdr:grpSpPr>
        <a:xfrm>
          <a:off x="8154866" y="5146813"/>
          <a:ext cx="6125436" cy="1946413"/>
          <a:chOff x="8199782" y="5146813"/>
          <a:chExt cx="6114223" cy="1946413"/>
        </a:xfrm>
      </xdr:grpSpPr>
      <xdr:sp macro="" textlink="">
        <xdr:nvSpPr>
          <xdr:cNvPr id="5129" name="Retângulo: Cantos Arredondados 5128">
            <a:extLst>
              <a:ext uri="{FF2B5EF4-FFF2-40B4-BE49-F238E27FC236}">
                <a16:creationId xmlns:a16="http://schemas.microsoft.com/office/drawing/2014/main" id="{00000000-0008-0000-0000-000009140000}"/>
              </a:ext>
            </a:extLst>
          </xdr:cNvPr>
          <xdr:cNvSpPr/>
        </xdr:nvSpPr>
        <xdr:spPr>
          <a:xfrm>
            <a:off x="8199782" y="5146813"/>
            <a:ext cx="6114223" cy="1946413"/>
          </a:xfrm>
          <a:prstGeom prst="roundRect">
            <a:avLst>
              <a:gd name="adj" fmla="val 8378"/>
            </a:avLst>
          </a:prstGeom>
          <a:solidFill>
            <a:srgbClr val="303A52"/>
          </a:solidFill>
          <a:ln w="28575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173" name="Retângulo: Cantos Arredondados 5172">
            <a:extLst>
              <a:ext uri="{FF2B5EF4-FFF2-40B4-BE49-F238E27FC236}">
                <a16:creationId xmlns:a16="http://schemas.microsoft.com/office/drawing/2014/main" id="{00000000-0008-0000-0000-000035140000}"/>
              </a:ext>
            </a:extLst>
          </xdr:cNvPr>
          <xdr:cNvSpPr/>
        </xdr:nvSpPr>
        <xdr:spPr>
          <a:xfrm>
            <a:off x="8260181" y="5211480"/>
            <a:ext cx="5993424" cy="1817078"/>
          </a:xfrm>
          <a:prstGeom prst="roundRect">
            <a:avLst>
              <a:gd name="adj" fmla="val 4947"/>
            </a:avLst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13</xdr:col>
      <xdr:colOff>472965</xdr:colOff>
      <xdr:row>28</xdr:row>
      <xdr:rowOff>108857</xdr:rowOff>
    </xdr:from>
    <xdr:to>
      <xdr:col>23</xdr:col>
      <xdr:colOff>105104</xdr:colOff>
      <xdr:row>36</xdr:row>
      <xdr:rowOff>16892</xdr:rowOff>
    </xdr:to>
    <xdr:graphicFrame macro="">
      <xdr:nvGraphicFramePr>
        <xdr:cNvPr id="5176" name="Gráfico 5175">
          <a:extLst>
            <a:ext uri="{FF2B5EF4-FFF2-40B4-BE49-F238E27FC236}">
              <a16:creationId xmlns:a16="http://schemas.microsoft.com/office/drawing/2014/main" id="{00000000-0008-0000-0000-000038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16</xdr:col>
      <xdr:colOff>383386</xdr:colOff>
      <xdr:row>26</xdr:row>
      <xdr:rowOff>184104</xdr:rowOff>
    </xdr:from>
    <xdr:to>
      <xdr:col>20</xdr:col>
      <xdr:colOff>184800</xdr:colOff>
      <xdr:row>29</xdr:row>
      <xdr:rowOff>41211</xdr:rowOff>
    </xdr:to>
    <xdr:sp macro="" textlink="">
      <xdr:nvSpPr>
        <xdr:cNvPr id="5178" name="CaixaDeTexto 5177">
          <a:extLst>
            <a:ext uri="{FF2B5EF4-FFF2-40B4-BE49-F238E27FC236}">
              <a16:creationId xmlns:a16="http://schemas.microsoft.com/office/drawing/2014/main" id="{00000000-0008-0000-0000-00003A140000}"/>
            </a:ext>
          </a:extLst>
        </xdr:cNvPr>
        <xdr:cNvSpPr txBox="1"/>
      </xdr:nvSpPr>
      <xdr:spPr>
        <a:xfrm>
          <a:off x="10158007" y="5137104"/>
          <a:ext cx="2245069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rPr>
            <a:t>Faixa</a:t>
          </a:r>
          <a:r>
            <a:rPr lang="en-US" sz="1200" b="1" i="0" u="none" strike="noStrike" baseline="0">
              <a:solidFill>
                <a:schemeClr val="bg1"/>
              </a:solidFill>
              <a:latin typeface="DIN" panose="00000400000000000000" pitchFamily="2" charset="0"/>
              <a:cs typeface="Calibri"/>
            </a:rPr>
            <a:t> Salarial</a:t>
          </a:r>
          <a:endParaRPr lang="en-US" sz="1200" b="1" i="0" u="none" strike="noStrike">
            <a:solidFill>
              <a:schemeClr val="bg1"/>
            </a:solidFill>
            <a:latin typeface="DIN" panose="00000400000000000000" pitchFamily="2" charset="0"/>
            <a:cs typeface="Calibri"/>
          </a:endParaRPr>
        </a:p>
      </xdr:txBody>
    </xdr:sp>
    <xdr:clientData/>
  </xdr:twoCellAnchor>
  <xdr:twoCellAnchor>
    <xdr:from>
      <xdr:col>14</xdr:col>
      <xdr:colOff>329890</xdr:colOff>
      <xdr:row>34</xdr:row>
      <xdr:rowOff>97573</xdr:rowOff>
    </xdr:from>
    <xdr:to>
      <xdr:col>22</xdr:col>
      <xdr:colOff>315951</xdr:colOff>
      <xdr:row>34</xdr:row>
      <xdr:rowOff>97573</xdr:rowOff>
    </xdr:to>
    <xdr:cxnSp macro="">
      <xdr:nvCxnSpPr>
        <xdr:cNvPr id="5181" name="Conector reto 5180">
          <a:extLst>
            <a:ext uri="{FF2B5EF4-FFF2-40B4-BE49-F238E27FC236}">
              <a16:creationId xmlns:a16="http://schemas.microsoft.com/office/drawing/2014/main" id="{00000000-0008-0000-0000-00003D140000}"/>
            </a:ext>
          </a:extLst>
        </xdr:cNvPr>
        <xdr:cNvCxnSpPr/>
      </xdr:nvCxnSpPr>
      <xdr:spPr>
        <a:xfrm>
          <a:off x="8851280" y="6574573"/>
          <a:ext cx="4855427" cy="0"/>
        </a:xfrm>
        <a:prstGeom prst="line">
          <a:avLst/>
        </a:prstGeom>
        <a:ln w="3175">
          <a:solidFill>
            <a:schemeClr val="bg2">
              <a:alpha val="26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286670</xdr:colOff>
      <xdr:row>33</xdr:row>
      <xdr:rowOff>50754</xdr:rowOff>
    </xdr:from>
    <xdr:to>
      <xdr:col>22</xdr:col>
      <xdr:colOff>564172</xdr:colOff>
      <xdr:row>35</xdr:row>
      <xdr:rowOff>98361</xdr:rowOff>
    </xdr:to>
    <xdr:sp macro="" textlink="">
      <xdr:nvSpPr>
        <xdr:cNvPr id="5182" name="CaixaDeTexto 5181">
          <a:extLst>
            <a:ext uri="{FF2B5EF4-FFF2-40B4-BE49-F238E27FC236}">
              <a16:creationId xmlns:a16="http://schemas.microsoft.com/office/drawing/2014/main" id="{00000000-0008-0000-0000-00003E140000}"/>
            </a:ext>
          </a:extLst>
        </xdr:cNvPr>
        <xdr:cNvSpPr txBox="1"/>
      </xdr:nvSpPr>
      <xdr:spPr>
        <a:xfrm>
          <a:off x="13665632" y="6337254"/>
          <a:ext cx="277502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rPr>
            <a:t>0</a:t>
          </a:r>
        </a:p>
      </xdr:txBody>
    </xdr:sp>
    <xdr:clientData/>
  </xdr:twoCellAnchor>
  <xdr:twoCellAnchor>
    <xdr:from>
      <xdr:col>13</xdr:col>
      <xdr:colOff>465303</xdr:colOff>
      <xdr:row>34</xdr:row>
      <xdr:rowOff>49941</xdr:rowOff>
    </xdr:from>
    <xdr:to>
      <xdr:col>23</xdr:col>
      <xdr:colOff>124559</xdr:colOff>
      <xdr:row>36</xdr:row>
      <xdr:rowOff>97548</xdr:rowOff>
    </xdr:to>
    <xdr:grpSp>
      <xdr:nvGrpSpPr>
        <xdr:cNvPr id="5140" name="Agrupar 5139">
          <a:extLst>
            <a:ext uri="{FF2B5EF4-FFF2-40B4-BE49-F238E27FC236}">
              <a16:creationId xmlns:a16="http://schemas.microsoft.com/office/drawing/2014/main" id="{00000000-0008-0000-0000-000014140000}"/>
            </a:ext>
          </a:extLst>
        </xdr:cNvPr>
        <xdr:cNvGrpSpPr/>
      </xdr:nvGrpSpPr>
      <xdr:grpSpPr>
        <a:xfrm>
          <a:off x="8371053" y="6526941"/>
          <a:ext cx="5740602" cy="428607"/>
          <a:chOff x="8371053" y="6578230"/>
          <a:chExt cx="5740602" cy="428607"/>
        </a:xfrm>
      </xdr:grpSpPr>
      <xdr:sp macro="" textlink="Auxiliar!Z3">
        <xdr:nvSpPr>
          <xdr:cNvPr id="5183" name="CaixaDeTexto 5182">
            <a:extLst>
              <a:ext uri="{FF2B5EF4-FFF2-40B4-BE49-F238E27FC236}">
                <a16:creationId xmlns:a16="http://schemas.microsoft.com/office/drawing/2014/main" id="{00000000-0008-0000-0000-00003F140000}"/>
              </a:ext>
            </a:extLst>
          </xdr:cNvPr>
          <xdr:cNvSpPr txBox="1"/>
        </xdr:nvSpPr>
        <xdr:spPr>
          <a:xfrm>
            <a:off x="8371053" y="6578230"/>
            <a:ext cx="1359102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CAE8797-D32D-4F1C-8AE2-2E18295E1CA5}" type="TxLink">
              <a:rPr lang="en-US" sz="900" b="0" i="0" u="none" strike="noStrike" baseline="0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ctr"/>
              <a:t>1600-3049</a:t>
            </a:fld>
            <a:endParaRPr lang="en-US" sz="9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Z4">
        <xdr:nvSpPr>
          <xdr:cNvPr id="48" name="CaixaDeTexto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9448110" y="6578230"/>
            <a:ext cx="1359102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4BE9B7-90D7-4B4E-BFD8-5B394A660E43}" type="TxLink">
              <a:rPr lang="en-US" sz="900" b="0" i="0" u="none" strike="noStrike" baseline="0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ctr"/>
              <a:t>3050-4999</a:t>
            </a:fld>
            <a:endParaRPr lang="en-US" sz="6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Z5">
        <xdr:nvSpPr>
          <xdr:cNvPr id="49" name="CaixaDeTexto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 txBox="1"/>
        </xdr:nvSpPr>
        <xdr:spPr>
          <a:xfrm>
            <a:off x="10547148" y="6578230"/>
            <a:ext cx="1359102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FD7A6D59-07DF-4C8A-929D-6D28BC5F830E}" type="TxLink">
              <a:rPr lang="en-US" sz="900" b="0" i="0" u="none" strike="noStrike" baseline="0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ctr"/>
              <a:t>5000-10499</a:t>
            </a:fld>
            <a:endParaRPr lang="en-US" sz="6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Z6">
        <xdr:nvSpPr>
          <xdr:cNvPr id="5126" name="CaixaDeTexto 5125">
            <a:extLst>
              <a:ext uri="{FF2B5EF4-FFF2-40B4-BE49-F238E27FC236}">
                <a16:creationId xmlns:a16="http://schemas.microsoft.com/office/drawing/2014/main" id="{00000000-0008-0000-0000-000006140000}"/>
              </a:ext>
            </a:extLst>
          </xdr:cNvPr>
          <xdr:cNvSpPr txBox="1"/>
        </xdr:nvSpPr>
        <xdr:spPr>
          <a:xfrm>
            <a:off x="11646187" y="6578230"/>
            <a:ext cx="1359102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F44A59C-7327-4266-86AA-B68261E80B51}" type="TxLink">
              <a:rPr lang="en-US" sz="900" b="0" i="0" u="none" strike="noStrike" baseline="0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ctr"/>
              <a:t>10500-16999</a:t>
            </a:fld>
            <a:endParaRPr lang="en-US" sz="600" b="1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">
        <xdr:nvSpPr>
          <xdr:cNvPr id="5128" name="CaixaDeTexto 5127">
            <a:extLst>
              <a:ext uri="{FF2B5EF4-FFF2-40B4-BE49-F238E27FC236}">
                <a16:creationId xmlns:a16="http://schemas.microsoft.com/office/drawing/2014/main" id="{00000000-0008-0000-0000-000008140000}"/>
              </a:ext>
            </a:extLst>
          </xdr:cNvPr>
          <xdr:cNvSpPr txBox="1"/>
        </xdr:nvSpPr>
        <xdr:spPr>
          <a:xfrm>
            <a:off x="12752553" y="6578230"/>
            <a:ext cx="1359102" cy="428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t>+</a:t>
            </a:r>
            <a:r>
              <a:rPr lang="en-US" sz="900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t>17000</a:t>
            </a:r>
          </a:p>
        </xdr:txBody>
      </xdr:sp>
    </xdr:grpSp>
    <xdr:clientData/>
  </xdr:twoCellAnchor>
  <xdr:twoCellAnchor>
    <xdr:from>
      <xdr:col>1</xdr:col>
      <xdr:colOff>115137</xdr:colOff>
      <xdr:row>1</xdr:row>
      <xdr:rowOff>56903</xdr:rowOff>
    </xdr:from>
    <xdr:to>
      <xdr:col>2</xdr:col>
      <xdr:colOff>364122</xdr:colOff>
      <xdr:row>9</xdr:row>
      <xdr:rowOff>109904</xdr:rowOff>
    </xdr:to>
    <xdr:pic>
      <xdr:nvPicPr>
        <xdr:cNvPr id="5141" name="Gráfico 5140">
          <a:extLst>
            <a:ext uri="{FF2B5EF4-FFF2-40B4-BE49-F238E27FC236}">
              <a16:creationId xmlns:a16="http://schemas.microsoft.com/office/drawing/2014/main" id="{00000000-0008-0000-0000-000015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 flipH="1">
          <a:off x="723272" y="247403"/>
          <a:ext cx="857119" cy="1577001"/>
        </a:xfrm>
        <a:prstGeom prst="rect">
          <a:avLst/>
        </a:prstGeom>
      </xdr:spPr>
    </xdr:pic>
    <xdr:clientData/>
  </xdr:twoCellAnchor>
  <xdr:twoCellAnchor>
    <xdr:from>
      <xdr:col>1</xdr:col>
      <xdr:colOff>106345</xdr:colOff>
      <xdr:row>10</xdr:row>
      <xdr:rowOff>70091</xdr:rowOff>
    </xdr:from>
    <xdr:to>
      <xdr:col>2</xdr:col>
      <xdr:colOff>355330</xdr:colOff>
      <xdr:row>18</xdr:row>
      <xdr:rowOff>123092</xdr:rowOff>
    </xdr:to>
    <xdr:pic>
      <xdr:nvPicPr>
        <xdr:cNvPr id="5142" name="Gráfico 5141">
          <a:extLst>
            <a:ext uri="{FF2B5EF4-FFF2-40B4-BE49-F238E27FC236}">
              <a16:creationId xmlns:a16="http://schemas.microsoft.com/office/drawing/2014/main" id="{00000000-0008-0000-0000-000016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714480" y="1975091"/>
          <a:ext cx="857119" cy="1577001"/>
        </a:xfrm>
        <a:prstGeom prst="rect">
          <a:avLst/>
        </a:prstGeom>
      </xdr:spPr>
    </xdr:pic>
    <xdr:clientData/>
  </xdr:twoCellAnchor>
  <xdr:twoCellAnchor>
    <xdr:from>
      <xdr:col>1</xdr:col>
      <xdr:colOff>91690</xdr:colOff>
      <xdr:row>19</xdr:row>
      <xdr:rowOff>150688</xdr:rowOff>
    </xdr:from>
    <xdr:to>
      <xdr:col>2</xdr:col>
      <xdr:colOff>340675</xdr:colOff>
      <xdr:row>28</xdr:row>
      <xdr:rowOff>13189</xdr:rowOff>
    </xdr:to>
    <xdr:pic>
      <xdr:nvPicPr>
        <xdr:cNvPr id="5143" name="Gráfico 5142">
          <a:extLst>
            <a:ext uri="{FF2B5EF4-FFF2-40B4-BE49-F238E27FC236}">
              <a16:creationId xmlns:a16="http://schemas.microsoft.com/office/drawing/2014/main" id="{00000000-0008-0000-0000-000017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 flipH="1">
          <a:off x="699825" y="3770188"/>
          <a:ext cx="857119" cy="1577001"/>
        </a:xfrm>
        <a:prstGeom prst="rect">
          <a:avLst/>
        </a:prstGeom>
      </xdr:spPr>
    </xdr:pic>
    <xdr:clientData/>
  </xdr:twoCellAnchor>
  <xdr:twoCellAnchor>
    <xdr:from>
      <xdr:col>1</xdr:col>
      <xdr:colOff>82898</xdr:colOff>
      <xdr:row>29</xdr:row>
      <xdr:rowOff>68627</xdr:rowOff>
    </xdr:from>
    <xdr:to>
      <xdr:col>2</xdr:col>
      <xdr:colOff>331883</xdr:colOff>
      <xdr:row>37</xdr:row>
      <xdr:rowOff>121628</xdr:rowOff>
    </xdr:to>
    <xdr:pic>
      <xdr:nvPicPr>
        <xdr:cNvPr id="5144" name="Gráfico 5143">
          <a:extLst>
            <a:ext uri="{FF2B5EF4-FFF2-40B4-BE49-F238E27FC236}">
              <a16:creationId xmlns:a16="http://schemas.microsoft.com/office/drawing/2014/main" id="{00000000-0008-0000-0000-00001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691033" y="5593127"/>
          <a:ext cx="857119" cy="1577001"/>
        </a:xfrm>
        <a:prstGeom prst="rect">
          <a:avLst/>
        </a:prstGeom>
      </xdr:spPr>
    </xdr:pic>
    <xdr:clientData/>
  </xdr:twoCellAnchor>
  <xdr:twoCellAnchor>
    <xdr:from>
      <xdr:col>7</xdr:col>
      <xdr:colOff>479516</xdr:colOff>
      <xdr:row>6</xdr:row>
      <xdr:rowOff>18763</xdr:rowOff>
    </xdr:from>
    <xdr:to>
      <xdr:col>9</xdr:col>
      <xdr:colOff>492488</xdr:colOff>
      <xdr:row>10</xdr:row>
      <xdr:rowOff>171163</xdr:rowOff>
    </xdr:to>
    <xdr:grpSp>
      <xdr:nvGrpSpPr>
        <xdr:cNvPr id="5172" name="Agrupar 5171">
          <a:extLst>
            <a:ext uri="{FF2B5EF4-FFF2-40B4-BE49-F238E27FC236}">
              <a16:creationId xmlns:a16="http://schemas.microsoft.com/office/drawing/2014/main" id="{00000000-0008-0000-0000-000034140000}"/>
            </a:ext>
          </a:extLst>
        </xdr:cNvPr>
        <xdr:cNvGrpSpPr/>
      </xdr:nvGrpSpPr>
      <xdr:grpSpPr>
        <a:xfrm>
          <a:off x="4736458" y="1161763"/>
          <a:ext cx="1229242" cy="914400"/>
          <a:chOff x="6158077" y="1190625"/>
          <a:chExt cx="1232172" cy="9144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" name="Drop Down 5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000-000006000000}"/>
                  </a:ext>
                </a:extLst>
              </xdr:cNvPr>
              <xdr:cNvSpPr/>
            </xdr:nvSpPr>
            <xdr:spPr bwMode="auto">
              <a:xfrm>
                <a:off x="6276975" y="1666875"/>
                <a:ext cx="952500" cy="1905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84" name="CaixaDeTexto 5183">
            <a:extLst>
              <a:ext uri="{FF2B5EF4-FFF2-40B4-BE49-F238E27FC236}">
                <a16:creationId xmlns:a16="http://schemas.microsoft.com/office/drawing/2014/main" id="{00000000-0008-0000-0000-000040140000}"/>
              </a:ext>
            </a:extLst>
          </xdr:cNvPr>
          <xdr:cNvSpPr txBox="1"/>
        </xdr:nvSpPr>
        <xdr:spPr>
          <a:xfrm>
            <a:off x="6177188" y="1328737"/>
            <a:ext cx="798391" cy="314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200" b="0">
                <a:solidFill>
                  <a:schemeClr val="bg1"/>
                </a:solidFill>
                <a:latin typeface="DIN" panose="00000400000000000000" pitchFamily="2" charset="0"/>
              </a:rPr>
              <a:t>Período:</a:t>
            </a:r>
          </a:p>
        </xdr:txBody>
      </xdr:sp>
      <xdr:sp macro="" textlink="">
        <xdr:nvSpPr>
          <xdr:cNvPr id="5185" name="Retângulo: Cantos Arredondados 5184">
            <a:extLst>
              <a:ext uri="{FF2B5EF4-FFF2-40B4-BE49-F238E27FC236}">
                <a16:creationId xmlns:a16="http://schemas.microsoft.com/office/drawing/2014/main" id="{00000000-0008-0000-0000-000041140000}"/>
              </a:ext>
            </a:extLst>
          </xdr:cNvPr>
          <xdr:cNvSpPr/>
        </xdr:nvSpPr>
        <xdr:spPr>
          <a:xfrm>
            <a:off x="6158077" y="1190625"/>
            <a:ext cx="1232172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5186" name="Gráfico 5185" descr="Área de Transferência com preenchimento sólido">
            <a:extLst>
              <a:ext uri="{FF2B5EF4-FFF2-40B4-BE49-F238E27FC236}">
                <a16:creationId xmlns:a16="http://schemas.microsoft.com/office/drawing/2014/main" id="{00000000-0008-0000-0000-0000421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048071" y="1348155"/>
            <a:ext cx="233934" cy="23016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353496</xdr:colOff>
      <xdr:row>5</xdr:row>
      <xdr:rowOff>163550</xdr:rowOff>
    </xdr:from>
    <xdr:to>
      <xdr:col>16</xdr:col>
      <xdr:colOff>353496</xdr:colOff>
      <xdr:row>11</xdr:row>
      <xdr:rowOff>53646</xdr:rowOff>
    </xdr:to>
    <xdr:cxnSp macro="">
      <xdr:nvCxnSpPr>
        <xdr:cNvPr id="5197" name="Conector reto 5196">
          <a:extLst>
            <a:ext uri="{FF2B5EF4-FFF2-40B4-BE49-F238E27FC236}">
              <a16:creationId xmlns:a16="http://schemas.microsoft.com/office/drawing/2014/main" id="{00000000-0008-0000-0000-00004D140000}"/>
            </a:ext>
          </a:extLst>
        </xdr:cNvPr>
        <xdr:cNvCxnSpPr/>
      </xdr:nvCxnSpPr>
      <xdr:spPr>
        <a:xfrm>
          <a:off x="10160105" y="1116050"/>
          <a:ext cx="0" cy="1033096"/>
        </a:xfrm>
        <a:prstGeom prst="line">
          <a:avLst/>
        </a:prstGeom>
        <a:ln>
          <a:solidFill>
            <a:schemeClr val="bg1">
              <a:lumMod val="95000"/>
              <a:alpha val="41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498636</xdr:colOff>
      <xdr:row>6</xdr:row>
      <xdr:rowOff>38100</xdr:rowOff>
    </xdr:from>
    <xdr:to>
      <xdr:col>18</xdr:col>
      <xdr:colOff>544628</xdr:colOff>
      <xdr:row>7</xdr:row>
      <xdr:rowOff>118471</xdr:rowOff>
    </xdr:to>
    <xdr:grpSp>
      <xdr:nvGrpSpPr>
        <xdr:cNvPr id="5203" name="Agrupar 5202">
          <a:extLst>
            <a:ext uri="{FF2B5EF4-FFF2-40B4-BE49-F238E27FC236}">
              <a16:creationId xmlns:a16="http://schemas.microsoft.com/office/drawing/2014/main" id="{00000000-0008-0000-0000-000053140000}"/>
            </a:ext>
          </a:extLst>
        </xdr:cNvPr>
        <xdr:cNvGrpSpPr/>
      </xdr:nvGrpSpPr>
      <xdr:grpSpPr>
        <a:xfrm>
          <a:off x="10228790" y="1181100"/>
          <a:ext cx="1262261" cy="270871"/>
          <a:chOff x="7059387" y="992701"/>
          <a:chExt cx="1265249" cy="914400"/>
        </a:xfrm>
      </xdr:grpSpPr>
      <xdr:sp macro="" textlink="">
        <xdr:nvSpPr>
          <xdr:cNvPr id="5205" name="Retângulo: Cantos Arredondados 5204">
            <a:extLst>
              <a:ext uri="{FF2B5EF4-FFF2-40B4-BE49-F238E27FC236}">
                <a16:creationId xmlns:a16="http://schemas.microsoft.com/office/drawing/2014/main" id="{00000000-0008-0000-0000-000055140000}"/>
              </a:ext>
            </a:extLst>
          </xdr:cNvPr>
          <xdr:cNvSpPr/>
        </xdr:nvSpPr>
        <xdr:spPr>
          <a:xfrm>
            <a:off x="7059387" y="992701"/>
            <a:ext cx="1181100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06" name="CaixaDeTexto 5205">
            <a:extLst>
              <a:ext uri="{FF2B5EF4-FFF2-40B4-BE49-F238E27FC236}">
                <a16:creationId xmlns:a16="http://schemas.microsoft.com/office/drawing/2014/main" id="{00000000-0008-0000-0000-000056140000}"/>
              </a:ext>
            </a:extLst>
          </xdr:cNvPr>
          <xdr:cNvSpPr txBox="1"/>
        </xdr:nvSpPr>
        <xdr:spPr>
          <a:xfrm>
            <a:off x="7168968" y="1186518"/>
            <a:ext cx="671255" cy="5267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/>
                </a:solidFill>
                <a:latin typeface="DIN" panose="00000400000000000000" pitchFamily="2" charset="0"/>
              </a:rPr>
              <a:t>Férias:</a:t>
            </a:r>
          </a:p>
        </xdr:txBody>
      </xdr:sp>
      <xdr:sp macro="" textlink="Auxiliar!$AT$7">
        <xdr:nvSpPr>
          <xdr:cNvPr id="5214" name="CaixaDeTexto 5213">
            <a:extLst>
              <a:ext uri="{FF2B5EF4-FFF2-40B4-BE49-F238E27FC236}">
                <a16:creationId xmlns:a16="http://schemas.microsoft.com/office/drawing/2014/main" id="{00000000-0008-0000-0000-00005E140000}"/>
              </a:ext>
            </a:extLst>
          </xdr:cNvPr>
          <xdr:cNvSpPr txBox="1"/>
        </xdr:nvSpPr>
        <xdr:spPr>
          <a:xfrm>
            <a:off x="7653381" y="1186518"/>
            <a:ext cx="671255" cy="5267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5DE37D2-0C76-4476-BCB4-81BC89BD6571}" type="TxLink">
              <a:rPr lang="en-US" sz="1100" b="0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l"/>
              <a:t>4</a:t>
            </a:fld>
            <a:endParaRPr lang="pt-BR" sz="1050" b="0">
              <a:solidFill>
                <a:schemeClr val="bg1"/>
              </a:solidFill>
              <a:latin typeface="DIN" panose="00000400000000000000" pitchFamily="2" charset="0"/>
            </a:endParaRPr>
          </a:p>
        </xdr:txBody>
      </xdr:sp>
    </xdr:grpSp>
    <xdr:clientData/>
  </xdr:twoCellAnchor>
  <xdr:twoCellAnchor>
    <xdr:from>
      <xdr:col>16</xdr:col>
      <xdr:colOff>498606</xdr:colOff>
      <xdr:row>7</xdr:row>
      <xdr:rowOff>168519</xdr:rowOff>
    </xdr:from>
    <xdr:to>
      <xdr:col>18</xdr:col>
      <xdr:colOff>460495</xdr:colOff>
      <xdr:row>9</xdr:row>
      <xdr:rowOff>58390</xdr:rowOff>
    </xdr:to>
    <xdr:grpSp>
      <xdr:nvGrpSpPr>
        <xdr:cNvPr id="5215" name="Agrupar 5214">
          <a:extLst>
            <a:ext uri="{FF2B5EF4-FFF2-40B4-BE49-F238E27FC236}">
              <a16:creationId xmlns:a16="http://schemas.microsoft.com/office/drawing/2014/main" id="{00000000-0008-0000-0000-00005F140000}"/>
            </a:ext>
          </a:extLst>
        </xdr:cNvPr>
        <xdr:cNvGrpSpPr/>
      </xdr:nvGrpSpPr>
      <xdr:grpSpPr>
        <a:xfrm>
          <a:off x="10228760" y="1502019"/>
          <a:ext cx="1178158" cy="270871"/>
          <a:chOff x="7059387" y="992701"/>
          <a:chExt cx="1181100" cy="914400"/>
        </a:xfrm>
      </xdr:grpSpPr>
      <xdr:sp macro="" textlink="">
        <xdr:nvSpPr>
          <xdr:cNvPr id="5216" name="Retângulo: Cantos Arredondados 5215">
            <a:extLst>
              <a:ext uri="{FF2B5EF4-FFF2-40B4-BE49-F238E27FC236}">
                <a16:creationId xmlns:a16="http://schemas.microsoft.com/office/drawing/2014/main" id="{00000000-0008-0000-0000-000060140000}"/>
              </a:ext>
            </a:extLst>
          </xdr:cNvPr>
          <xdr:cNvSpPr/>
        </xdr:nvSpPr>
        <xdr:spPr>
          <a:xfrm>
            <a:off x="7059387" y="992701"/>
            <a:ext cx="1181100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17" name="CaixaDeTexto 5216">
            <a:extLst>
              <a:ext uri="{FF2B5EF4-FFF2-40B4-BE49-F238E27FC236}">
                <a16:creationId xmlns:a16="http://schemas.microsoft.com/office/drawing/2014/main" id="{00000000-0008-0000-0000-000061140000}"/>
              </a:ext>
            </a:extLst>
          </xdr:cNvPr>
          <xdr:cNvSpPr txBox="1"/>
        </xdr:nvSpPr>
        <xdr:spPr>
          <a:xfrm>
            <a:off x="7167679" y="1186518"/>
            <a:ext cx="718528" cy="5267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/>
                </a:solidFill>
                <a:latin typeface="DIN" panose="00000400000000000000" pitchFamily="2" charset="0"/>
              </a:rPr>
              <a:t>Lic. Mat:</a:t>
            </a:r>
          </a:p>
        </xdr:txBody>
      </xdr:sp>
      <xdr:sp macro="" textlink="Auxiliar!$AT$4">
        <xdr:nvSpPr>
          <xdr:cNvPr id="5218" name="CaixaDeTexto 5217">
            <a:extLst>
              <a:ext uri="{FF2B5EF4-FFF2-40B4-BE49-F238E27FC236}">
                <a16:creationId xmlns:a16="http://schemas.microsoft.com/office/drawing/2014/main" id="{00000000-0008-0000-0000-000062140000}"/>
              </a:ext>
            </a:extLst>
          </xdr:cNvPr>
          <xdr:cNvSpPr txBox="1"/>
        </xdr:nvSpPr>
        <xdr:spPr>
          <a:xfrm>
            <a:off x="7755854" y="1186518"/>
            <a:ext cx="480538" cy="5267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EDA86EDF-47F8-46CD-B8F7-D6A98BBD4967}" type="TxLink">
              <a:rPr lang="en-US" sz="1100" b="0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l"/>
              <a:t>2</a:t>
            </a:fld>
            <a:endParaRPr lang="pt-BR" sz="1050" b="0">
              <a:solidFill>
                <a:schemeClr val="bg1"/>
              </a:solidFill>
              <a:latin typeface="DIN" panose="00000400000000000000" pitchFamily="2" charset="0"/>
            </a:endParaRPr>
          </a:p>
        </xdr:txBody>
      </xdr:sp>
    </xdr:grpSp>
    <xdr:clientData/>
  </xdr:twoCellAnchor>
  <xdr:twoCellAnchor>
    <xdr:from>
      <xdr:col>16</xdr:col>
      <xdr:colOff>498580</xdr:colOff>
      <xdr:row>9</xdr:row>
      <xdr:rowOff>108438</xdr:rowOff>
    </xdr:from>
    <xdr:to>
      <xdr:col>18</xdr:col>
      <xdr:colOff>555394</xdr:colOff>
      <xdr:row>10</xdr:row>
      <xdr:rowOff>188809</xdr:rowOff>
    </xdr:to>
    <xdr:grpSp>
      <xdr:nvGrpSpPr>
        <xdr:cNvPr id="5224" name="Agrupar 5223">
          <a:extLst>
            <a:ext uri="{FF2B5EF4-FFF2-40B4-BE49-F238E27FC236}">
              <a16:creationId xmlns:a16="http://schemas.microsoft.com/office/drawing/2014/main" id="{00000000-0008-0000-0000-000068140000}"/>
            </a:ext>
          </a:extLst>
        </xdr:cNvPr>
        <xdr:cNvGrpSpPr/>
      </xdr:nvGrpSpPr>
      <xdr:grpSpPr>
        <a:xfrm>
          <a:off x="10228734" y="1822938"/>
          <a:ext cx="1273083" cy="270871"/>
          <a:chOff x="7059387" y="992701"/>
          <a:chExt cx="1275864" cy="914400"/>
        </a:xfrm>
      </xdr:grpSpPr>
      <xdr:sp macro="" textlink="">
        <xdr:nvSpPr>
          <xdr:cNvPr id="5230" name="Retângulo: Cantos Arredondados 5229">
            <a:extLst>
              <a:ext uri="{FF2B5EF4-FFF2-40B4-BE49-F238E27FC236}">
                <a16:creationId xmlns:a16="http://schemas.microsoft.com/office/drawing/2014/main" id="{00000000-0008-0000-0000-00006E140000}"/>
              </a:ext>
            </a:extLst>
          </xdr:cNvPr>
          <xdr:cNvSpPr/>
        </xdr:nvSpPr>
        <xdr:spPr>
          <a:xfrm>
            <a:off x="7059387" y="992701"/>
            <a:ext cx="1181100" cy="914400"/>
          </a:xfrm>
          <a:prstGeom prst="roundRect">
            <a:avLst/>
          </a:prstGeom>
          <a:noFill/>
          <a:ln w="6350">
            <a:solidFill>
              <a:schemeClr val="bg1">
                <a:lumMod val="85000"/>
                <a:alpha val="38000"/>
              </a:schemeClr>
            </a:solidFill>
            <a:extLst>
              <a:ext uri="{C807C97D-BFC1-408E-A445-0C87EB9F89A2}">
                <ask:lineSketchStyleProps xmlns:ask="http://schemas.microsoft.com/office/drawing/2018/sketchyshapes" sd="2151813841">
                  <a:custGeom>
                    <a:avLst/>
                    <a:gdLst>
                      <a:gd name="connsiteX0" fmla="*/ 0 w 1714500"/>
                      <a:gd name="connsiteY0" fmla="*/ 152403 h 914400"/>
                      <a:gd name="connsiteX1" fmla="*/ 152403 w 1714500"/>
                      <a:gd name="connsiteY1" fmla="*/ 0 h 914400"/>
                      <a:gd name="connsiteX2" fmla="*/ 1562097 w 1714500"/>
                      <a:gd name="connsiteY2" fmla="*/ 0 h 914400"/>
                      <a:gd name="connsiteX3" fmla="*/ 1714500 w 1714500"/>
                      <a:gd name="connsiteY3" fmla="*/ 152403 h 914400"/>
                      <a:gd name="connsiteX4" fmla="*/ 1714500 w 1714500"/>
                      <a:gd name="connsiteY4" fmla="*/ 761997 h 914400"/>
                      <a:gd name="connsiteX5" fmla="*/ 1562097 w 1714500"/>
                      <a:gd name="connsiteY5" fmla="*/ 914400 h 914400"/>
                      <a:gd name="connsiteX6" fmla="*/ 152403 w 1714500"/>
                      <a:gd name="connsiteY6" fmla="*/ 914400 h 914400"/>
                      <a:gd name="connsiteX7" fmla="*/ 0 w 1714500"/>
                      <a:gd name="connsiteY7" fmla="*/ 761997 h 914400"/>
                      <a:gd name="connsiteX8" fmla="*/ 0 w 1714500"/>
                      <a:gd name="connsiteY8" fmla="*/ 152403 h 914400"/>
                    </a:gdLst>
                    <a:ahLst/>
                    <a:cxnLst>
                      <a:cxn ang="0">
                        <a:pos x="connsiteX0" y="connsiteY0"/>
                      </a:cxn>
                      <a:cxn ang="0">
                        <a:pos x="connsiteX1" y="connsiteY1"/>
                      </a:cxn>
                      <a:cxn ang="0">
                        <a:pos x="connsiteX2" y="connsiteY2"/>
                      </a:cxn>
                      <a:cxn ang="0">
                        <a:pos x="connsiteX3" y="connsiteY3"/>
                      </a:cxn>
                      <a:cxn ang="0">
                        <a:pos x="connsiteX4" y="connsiteY4"/>
                      </a:cxn>
                      <a:cxn ang="0">
                        <a:pos x="connsiteX5" y="connsiteY5"/>
                      </a:cxn>
                      <a:cxn ang="0">
                        <a:pos x="connsiteX6" y="connsiteY6"/>
                      </a:cxn>
                      <a:cxn ang="0">
                        <a:pos x="connsiteX7" y="connsiteY7"/>
                      </a:cxn>
                      <a:cxn ang="0">
                        <a:pos x="connsiteX8" y="connsiteY8"/>
                      </a:cxn>
                    </a:cxnLst>
                    <a:rect l="l" t="t" r="r" b="b"/>
                    <a:pathLst>
                      <a:path w="1714500" h="914400" extrusionOk="0">
                        <a:moveTo>
                          <a:pt x="0" y="152403"/>
                        </a:moveTo>
                        <a:cubicBezTo>
                          <a:pt x="-8862" y="69086"/>
                          <a:pt x="61736" y="7245"/>
                          <a:pt x="152403" y="0"/>
                        </a:cubicBezTo>
                        <a:cubicBezTo>
                          <a:pt x="660327" y="64556"/>
                          <a:pt x="1394516" y="-116840"/>
                          <a:pt x="1562097" y="0"/>
                        </a:cubicBezTo>
                        <a:cubicBezTo>
                          <a:pt x="1646575" y="1166"/>
                          <a:pt x="1704627" y="70833"/>
                          <a:pt x="1714500" y="152403"/>
                        </a:cubicBezTo>
                        <a:cubicBezTo>
                          <a:pt x="1762352" y="369575"/>
                          <a:pt x="1674046" y="634059"/>
                          <a:pt x="1714500" y="761997"/>
                        </a:cubicBezTo>
                        <a:cubicBezTo>
                          <a:pt x="1709101" y="843293"/>
                          <a:pt x="1636442" y="913463"/>
                          <a:pt x="1562097" y="914400"/>
                        </a:cubicBezTo>
                        <a:cubicBezTo>
                          <a:pt x="1350670" y="874825"/>
                          <a:pt x="803448" y="980807"/>
                          <a:pt x="152403" y="914400"/>
                        </a:cubicBezTo>
                        <a:cubicBezTo>
                          <a:pt x="56364" y="916963"/>
                          <a:pt x="-4157" y="860602"/>
                          <a:pt x="0" y="761997"/>
                        </a:cubicBezTo>
                        <a:cubicBezTo>
                          <a:pt x="-963" y="667564"/>
                          <a:pt x="21169" y="270706"/>
                          <a:pt x="0" y="152403"/>
                        </a:cubicBezTo>
                        <a:close/>
                      </a:path>
                    </a:pathLst>
                  </a:custGeom>
                  <ask:type>
                    <ask:lineSketchNone/>
                  </ask:type>
                </ask:lineSketchStyleProps>
              </a:ext>
            </a:extLst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231" name="CaixaDeTexto 5230">
            <a:extLst>
              <a:ext uri="{FF2B5EF4-FFF2-40B4-BE49-F238E27FC236}">
                <a16:creationId xmlns:a16="http://schemas.microsoft.com/office/drawing/2014/main" id="{00000000-0008-0000-0000-00006F140000}"/>
              </a:ext>
            </a:extLst>
          </xdr:cNvPr>
          <xdr:cNvSpPr txBox="1"/>
        </xdr:nvSpPr>
        <xdr:spPr>
          <a:xfrm>
            <a:off x="7162291" y="1186518"/>
            <a:ext cx="1038449" cy="5267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/>
                </a:solidFill>
                <a:latin typeface="DIN" panose="00000400000000000000" pitchFamily="2" charset="0"/>
              </a:rPr>
              <a:t>Outros:</a:t>
            </a:r>
          </a:p>
        </xdr:txBody>
      </xdr:sp>
      <xdr:sp macro="" textlink="Auxiliar!$AT$6">
        <xdr:nvSpPr>
          <xdr:cNvPr id="5232" name="CaixaDeTexto 5231">
            <a:extLst>
              <a:ext uri="{FF2B5EF4-FFF2-40B4-BE49-F238E27FC236}">
                <a16:creationId xmlns:a16="http://schemas.microsoft.com/office/drawing/2014/main" id="{00000000-0008-0000-0000-000070140000}"/>
              </a:ext>
            </a:extLst>
          </xdr:cNvPr>
          <xdr:cNvSpPr txBox="1"/>
        </xdr:nvSpPr>
        <xdr:spPr>
          <a:xfrm>
            <a:off x="7663996" y="1186518"/>
            <a:ext cx="671255" cy="5267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BAB68C89-B1D0-489F-B163-FAB962C4172A}" type="TxLink">
              <a:rPr lang="en-US" sz="1100" b="0" i="0" u="none" strike="noStrike">
                <a:solidFill>
                  <a:schemeClr val="bg1"/>
                </a:solidFill>
                <a:latin typeface="DIN" panose="00000400000000000000" pitchFamily="2" charset="0"/>
                <a:cs typeface="Calibri"/>
              </a:rPr>
              <a:pPr algn="l"/>
              <a:t>0</a:t>
            </a:fld>
            <a:endParaRPr lang="pt-BR" sz="1050" b="0">
              <a:solidFill>
                <a:schemeClr val="bg1"/>
              </a:solidFill>
              <a:latin typeface="DIN" panose="00000400000000000000" pitchFamily="2" charset="0"/>
            </a:endParaRPr>
          </a:p>
        </xdr:txBody>
      </xdr:sp>
    </xdr:grpSp>
    <xdr:clientData/>
  </xdr:twoCellAnchor>
  <xdr:twoCellAnchor editAs="oneCell">
    <xdr:from>
      <xdr:col>13</xdr:col>
      <xdr:colOff>567788</xdr:colOff>
      <xdr:row>6</xdr:row>
      <xdr:rowOff>68480</xdr:rowOff>
    </xdr:from>
    <xdr:to>
      <xdr:col>14</xdr:col>
      <xdr:colOff>86351</xdr:colOff>
      <xdr:row>6</xdr:row>
      <xdr:rowOff>186103</xdr:rowOff>
    </xdr:to>
    <xdr:pic>
      <xdr:nvPicPr>
        <xdr:cNvPr id="5234" name="Gráfico 5233" descr="Potência com preenchimento sólido">
          <a:extLst>
            <a:ext uri="{FF2B5EF4-FFF2-40B4-BE49-F238E27FC236}">
              <a16:creationId xmlns:a16="http://schemas.microsoft.com/office/drawing/2014/main" id="{00000000-0008-0000-0000-000072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8511279" y="1211480"/>
          <a:ext cx="129600" cy="117623"/>
        </a:xfrm>
        <a:prstGeom prst="rect">
          <a:avLst/>
        </a:prstGeom>
      </xdr:spPr>
    </xdr:pic>
    <xdr:clientData/>
  </xdr:twoCellAnchor>
  <xdr:twoCellAnchor editAs="oneCell">
    <xdr:from>
      <xdr:col>11</xdr:col>
      <xdr:colOff>469450</xdr:colOff>
      <xdr:row>6</xdr:row>
      <xdr:rowOff>68027</xdr:rowOff>
    </xdr:from>
    <xdr:to>
      <xdr:col>11</xdr:col>
      <xdr:colOff>599050</xdr:colOff>
      <xdr:row>7</xdr:row>
      <xdr:rowOff>2572</xdr:rowOff>
    </xdr:to>
    <xdr:pic>
      <xdr:nvPicPr>
        <xdr:cNvPr id="5236" name="Gráfico 5235" descr="Usuário com preenchimento sólido">
          <a:extLst>
            <a:ext uri="{FF2B5EF4-FFF2-40B4-BE49-F238E27FC236}">
              <a16:creationId xmlns:a16="http://schemas.microsoft.com/office/drawing/2014/main" id="{00000000-0008-0000-0000-000074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7190865" y="1211027"/>
          <a:ext cx="129600" cy="125045"/>
        </a:xfrm>
        <a:prstGeom prst="rect">
          <a:avLst/>
        </a:prstGeom>
      </xdr:spPr>
    </xdr:pic>
    <xdr:clientData/>
  </xdr:twoCellAnchor>
  <xdr:twoCellAnchor editAs="oneCell">
    <xdr:from>
      <xdr:col>16</xdr:col>
      <xdr:colOff>40682</xdr:colOff>
      <xdr:row>6</xdr:row>
      <xdr:rowOff>45720</xdr:rowOff>
    </xdr:from>
    <xdr:to>
      <xdr:col>16</xdr:col>
      <xdr:colOff>170282</xdr:colOff>
      <xdr:row>7</xdr:row>
      <xdr:rowOff>726</xdr:rowOff>
    </xdr:to>
    <xdr:pic>
      <xdr:nvPicPr>
        <xdr:cNvPr id="5240" name="Gráfico 5239" descr="Seta circular com preenchimento sólido">
          <a:extLst>
            <a:ext uri="{FF2B5EF4-FFF2-40B4-BE49-F238E27FC236}">
              <a16:creationId xmlns:a16="http://schemas.microsoft.com/office/drawing/2014/main" id="{00000000-0008-0000-0000-000078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9817286" y="1188720"/>
          <a:ext cx="129600" cy="145506"/>
        </a:xfrm>
        <a:prstGeom prst="rect">
          <a:avLst/>
        </a:prstGeom>
      </xdr:spPr>
    </xdr:pic>
    <xdr:clientData/>
  </xdr:twoCellAnchor>
  <xdr:twoCellAnchor editAs="oneCell">
    <xdr:from>
      <xdr:col>16</xdr:col>
      <xdr:colOff>520466</xdr:colOff>
      <xdr:row>8</xdr:row>
      <xdr:rowOff>49481</xdr:rowOff>
    </xdr:from>
    <xdr:to>
      <xdr:col>17</xdr:col>
      <xdr:colOff>67952</xdr:colOff>
      <xdr:row>8</xdr:row>
      <xdr:rowOff>184089</xdr:rowOff>
    </xdr:to>
    <xdr:pic>
      <xdr:nvPicPr>
        <xdr:cNvPr id="5242" name="Gráfico 5241" descr="Moça grávida com preenchimento sólido">
          <a:extLst>
            <a:ext uri="{FF2B5EF4-FFF2-40B4-BE49-F238E27FC236}">
              <a16:creationId xmlns:a16="http://schemas.microsoft.com/office/drawing/2014/main" id="{00000000-0008-0000-0000-00007A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10258232" y="1573481"/>
          <a:ext cx="156097" cy="134608"/>
        </a:xfrm>
        <a:prstGeom prst="rect">
          <a:avLst/>
        </a:prstGeom>
      </xdr:spPr>
    </xdr:pic>
    <xdr:clientData/>
  </xdr:twoCellAnchor>
  <xdr:twoCellAnchor editAs="oneCell">
    <xdr:from>
      <xdr:col>16</xdr:col>
      <xdr:colOff>537905</xdr:colOff>
      <xdr:row>6</xdr:row>
      <xdr:rowOff>106383</xdr:rowOff>
    </xdr:from>
    <xdr:to>
      <xdr:col>17</xdr:col>
      <xdr:colOff>60295</xdr:colOff>
      <xdr:row>7</xdr:row>
      <xdr:rowOff>46532</xdr:rowOff>
    </xdr:to>
    <xdr:pic>
      <xdr:nvPicPr>
        <xdr:cNvPr id="5244" name="Gráfico 5243" descr="Viagens com preenchimento sólido">
          <a:extLst>
            <a:ext uri="{FF2B5EF4-FFF2-40B4-BE49-F238E27FC236}">
              <a16:creationId xmlns:a16="http://schemas.microsoft.com/office/drawing/2014/main" id="{00000000-0008-0000-0000-00007C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0275671" y="1249383"/>
          <a:ext cx="131001" cy="130649"/>
        </a:xfrm>
        <a:prstGeom prst="rect">
          <a:avLst/>
        </a:prstGeom>
      </xdr:spPr>
    </xdr:pic>
    <xdr:clientData/>
  </xdr:twoCellAnchor>
  <xdr:twoCellAnchor editAs="oneCell">
    <xdr:from>
      <xdr:col>16</xdr:col>
      <xdr:colOff>528190</xdr:colOff>
      <xdr:row>9</xdr:row>
      <xdr:rowOff>171763</xdr:rowOff>
    </xdr:from>
    <xdr:to>
      <xdr:col>17</xdr:col>
      <xdr:colOff>71034</xdr:colOff>
      <xdr:row>10</xdr:row>
      <xdr:rowOff>130688</xdr:rowOff>
    </xdr:to>
    <xdr:pic>
      <xdr:nvPicPr>
        <xdr:cNvPr id="5246" name="Gráfico 5245" descr="Covid-19 com preenchimento sólido">
          <a:extLst>
            <a:ext uri="{FF2B5EF4-FFF2-40B4-BE49-F238E27FC236}">
              <a16:creationId xmlns:a16="http://schemas.microsoft.com/office/drawing/2014/main" id="{00000000-0008-0000-0000-00007E1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0292122" y="1886263"/>
          <a:ext cx="153090" cy="149425"/>
        </a:xfrm>
        <a:prstGeom prst="rect">
          <a:avLst/>
        </a:prstGeom>
      </xdr:spPr>
    </xdr:pic>
    <xdr:clientData/>
  </xdr:twoCellAnchor>
  <xdr:twoCellAnchor>
    <xdr:from>
      <xdr:col>3</xdr:col>
      <xdr:colOff>197827</xdr:colOff>
      <xdr:row>29</xdr:row>
      <xdr:rowOff>29309</xdr:rowOff>
    </xdr:from>
    <xdr:to>
      <xdr:col>13</xdr:col>
      <xdr:colOff>51288</xdr:colOff>
      <xdr:row>36</xdr:row>
      <xdr:rowOff>126470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3</xdr:col>
      <xdr:colOff>470126</xdr:colOff>
      <xdr:row>13</xdr:row>
      <xdr:rowOff>165326</xdr:rowOff>
    </xdr:from>
    <xdr:to>
      <xdr:col>5</xdr:col>
      <xdr:colOff>282348</xdr:colOff>
      <xdr:row>25</xdr:row>
      <xdr:rowOff>45583</xdr:rowOff>
    </xdr:to>
    <xdr:graphicFrame macro="">
      <xdr:nvGraphicFramePr>
        <xdr:cNvPr id="5156" name="Gráfico 5155">
          <a:extLst>
            <a:ext uri="{FF2B5EF4-FFF2-40B4-BE49-F238E27FC236}">
              <a16:creationId xmlns:a16="http://schemas.microsoft.com/office/drawing/2014/main" id="{00000000-0008-0000-0000-000024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</xdr:col>
      <xdr:colOff>392304</xdr:colOff>
      <xdr:row>14</xdr:row>
      <xdr:rowOff>168753</xdr:rowOff>
    </xdr:from>
    <xdr:to>
      <xdr:col>4</xdr:col>
      <xdr:colOff>40905</xdr:colOff>
      <xdr:row>24</xdr:row>
      <xdr:rowOff>45648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2216708" y="2835753"/>
          <a:ext cx="256735" cy="1781895"/>
          <a:chOff x="0" y="0"/>
          <a:chExt cx="435428" cy="2955342"/>
        </a:xfrm>
        <a:solidFill>
          <a:srgbClr val="A2DFF2"/>
        </a:solidFill>
      </xdr:grpSpPr>
      <xdr:sp macro="" textlink="Auxiliar!R7">
        <xdr:nvSpPr>
          <xdr:cNvPr id="15" name="Elips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0" y="0"/>
            <a:ext cx="435428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380FE308-9EB6-46A8-9E35-7F839BE7B1F0}" type="TxLink">
              <a:rPr lang="en-US" sz="900" b="0" i="0" u="none" strike="noStrike">
                <a:solidFill>
                  <a:srgbClr val="303A52"/>
                </a:solidFill>
                <a:latin typeface="DIN" panose="00000400000000000000" pitchFamily="2" charset="0"/>
                <a:cs typeface="Calibri"/>
              </a:rPr>
              <a:pPr algn="ctr"/>
              <a:t>1</a:t>
            </a:fld>
            <a:endParaRPr lang="en-US" sz="900" b="1">
              <a:solidFill>
                <a:srgbClr val="303A52"/>
              </a:solidFill>
              <a:latin typeface="DIN" panose="00000400000000000000" pitchFamily="2" charset="0"/>
            </a:endParaRPr>
          </a:p>
        </xdr:txBody>
      </xdr:sp>
      <xdr:sp macro="" textlink="Auxiliar!R6">
        <xdr:nvSpPr>
          <xdr:cNvPr id="29" name="Elips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0" y="634360"/>
            <a:ext cx="435428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E5CCFCA8-BD8E-42A1-8DFC-33A64D30596D}" type="TxLink">
              <a:rPr lang="en-US" sz="900" b="0" i="0" u="none" strike="noStrike">
                <a:solidFill>
                  <a:srgbClr val="303A52"/>
                </a:solidFill>
                <a:latin typeface="DIN" panose="00000400000000000000" pitchFamily="2" charset="0"/>
                <a:cs typeface="Calibri"/>
              </a:rPr>
              <a:pPr algn="ctr"/>
              <a:t>6</a:t>
            </a:fld>
            <a:endParaRPr lang="pt-BR" sz="900" b="1">
              <a:solidFill>
                <a:srgbClr val="303A52"/>
              </a:solidFill>
              <a:latin typeface="DIN" panose="00000400000000000000" pitchFamily="2" charset="0"/>
            </a:endParaRPr>
          </a:p>
        </xdr:txBody>
      </xdr:sp>
      <xdr:sp macro="" textlink="Auxiliar!R5">
        <xdr:nvSpPr>
          <xdr:cNvPr id="40" name="Elips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0" y="1263079"/>
            <a:ext cx="435428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CB5E5BD4-B9D6-4BBF-8B5B-00735A082F97}" type="TxLink">
              <a:rPr lang="en-US" sz="900" b="0" i="0" u="none" strike="noStrike">
                <a:solidFill>
                  <a:srgbClr val="303A52"/>
                </a:solidFill>
                <a:latin typeface="DIN" panose="00000400000000000000" pitchFamily="2" charset="0"/>
                <a:cs typeface="Calibri"/>
              </a:rPr>
              <a:pPr algn="ctr"/>
              <a:t>8</a:t>
            </a:fld>
            <a:endParaRPr lang="pt-BR" sz="900" b="1">
              <a:solidFill>
                <a:srgbClr val="303A52"/>
              </a:solidFill>
              <a:latin typeface="DIN" panose="00000400000000000000" pitchFamily="2" charset="0"/>
            </a:endParaRPr>
          </a:p>
        </xdr:txBody>
      </xdr:sp>
      <xdr:sp macro="" textlink="Auxiliar!R4">
        <xdr:nvSpPr>
          <xdr:cNvPr id="50" name="Elipse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0" y="1880113"/>
            <a:ext cx="435428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83E4E7A-45AF-4224-B0DE-CDBC5DF2750D}" type="TxLink">
              <a:rPr lang="en-US" sz="900" b="0" i="0" u="none" strike="noStrike">
                <a:solidFill>
                  <a:srgbClr val="303A52"/>
                </a:solidFill>
                <a:latin typeface="DIN" panose="00000400000000000000" pitchFamily="2" charset="0"/>
                <a:cs typeface="Calibri"/>
              </a:rPr>
              <a:pPr algn="ctr"/>
              <a:t>3</a:t>
            </a:fld>
            <a:endParaRPr lang="pt-BR" sz="900" b="1">
              <a:solidFill>
                <a:srgbClr val="303A52"/>
              </a:solidFill>
              <a:latin typeface="DIN" panose="00000400000000000000" pitchFamily="2" charset="0"/>
            </a:endParaRPr>
          </a:p>
        </xdr:txBody>
      </xdr:sp>
      <xdr:sp macro="" textlink="Auxiliar!R3">
        <xdr:nvSpPr>
          <xdr:cNvPr id="51" name="Elipse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0" y="2519914"/>
            <a:ext cx="435428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E326620D-A784-47BF-82DA-436F4A1FB081}" type="TxLink">
              <a:rPr lang="en-US" sz="900" b="0" i="0" u="none" strike="noStrike">
                <a:solidFill>
                  <a:srgbClr val="303A52"/>
                </a:solidFill>
                <a:latin typeface="DIN" panose="00000400000000000000" pitchFamily="2" charset="0"/>
                <a:cs typeface="Calibri"/>
              </a:rPr>
              <a:pPr algn="ctr"/>
              <a:t>2</a:t>
            </a:fld>
            <a:endParaRPr lang="pt-BR" sz="900" b="1">
              <a:solidFill>
                <a:srgbClr val="303A52"/>
              </a:solidFill>
              <a:latin typeface="DIN" panose="00000400000000000000" pitchFamily="2" charset="0"/>
            </a:endParaRPr>
          </a:p>
        </xdr:txBody>
      </xdr:sp>
    </xdr:grpSp>
    <xdr:clientData/>
  </xdr:twoCellAnchor>
  <xdr:twoCellAnchor>
    <xdr:from>
      <xdr:col>3</xdr:col>
      <xdr:colOff>566016</xdr:colOff>
      <xdr:row>13</xdr:row>
      <xdr:rowOff>162977</xdr:rowOff>
    </xdr:from>
    <xdr:to>
      <xdr:col>4</xdr:col>
      <xdr:colOff>466669</xdr:colOff>
      <xdr:row>23</xdr:row>
      <xdr:rowOff>81528</xdr:rowOff>
    </xdr:to>
    <xdr:grpSp>
      <xdr:nvGrpSpPr>
        <xdr:cNvPr id="5121" name="Agrupar 5120">
          <a:extLs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GrpSpPr/>
      </xdr:nvGrpSpPr>
      <xdr:grpSpPr>
        <a:xfrm>
          <a:off x="2390420" y="2639477"/>
          <a:ext cx="508787" cy="1823551"/>
          <a:chOff x="2744053" y="2707513"/>
          <a:chExt cx="512258" cy="1823551"/>
        </a:xfrm>
      </xdr:grpSpPr>
      <xdr:sp macro="" textlink="Auxiliar!S7">
        <xdr:nvSpPr>
          <xdr:cNvPr id="58" name="CaixaDeTexto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 txBox="1"/>
        </xdr:nvSpPr>
        <xdr:spPr>
          <a:xfrm>
            <a:off x="2744053" y="2707513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C6B3E5A7-C848-45FA-975D-1FB42581CB71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5,00%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S6">
        <xdr:nvSpPr>
          <xdr:cNvPr id="59" name="CaixaDeTexto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2744053" y="3083194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AA6B5965-4AFC-4E08-9E8B-106937ED3E82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30,00%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S5">
        <xdr:nvSpPr>
          <xdr:cNvPr id="60" name="CaixaDeTexto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2744053" y="3455473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8E9EC9AD-6C4B-41BF-ABB1-BA38613BD787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40,00%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S4">
        <xdr:nvSpPr>
          <xdr:cNvPr id="62" name="CaixaDeTexto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744053" y="3834556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BDB0F683-886A-40A0-B982-3C68858CB92E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15,00%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S3">
        <xdr:nvSpPr>
          <xdr:cNvPr id="63" name="CaixaDeTexto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2744053" y="4210237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285106DB-F30A-4BCD-8C8D-F256EE385A0B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10,00%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</xdr:grpSp>
    <xdr:clientData/>
  </xdr:twoCellAnchor>
  <xdr:twoCellAnchor>
    <xdr:from>
      <xdr:col>5</xdr:col>
      <xdr:colOff>534078</xdr:colOff>
      <xdr:row>13</xdr:row>
      <xdr:rowOff>168046</xdr:rowOff>
    </xdr:from>
    <xdr:to>
      <xdr:col>7</xdr:col>
      <xdr:colOff>346299</xdr:colOff>
      <xdr:row>25</xdr:row>
      <xdr:rowOff>48303</xdr:rowOff>
    </xdr:to>
    <xdr:graphicFrame macro="">
      <xdr:nvGraphicFramePr>
        <xdr:cNvPr id="5157" name="Gráfico 5156">
          <a:extLst>
            <a:ext uri="{FF2B5EF4-FFF2-40B4-BE49-F238E27FC236}">
              <a16:creationId xmlns:a16="http://schemas.microsoft.com/office/drawing/2014/main" id="{00000000-0008-0000-0000-000025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7</xdr:col>
      <xdr:colOff>163355</xdr:colOff>
      <xdr:row>14</xdr:row>
      <xdr:rowOff>173443</xdr:rowOff>
    </xdr:from>
    <xdr:to>
      <xdr:col>7</xdr:col>
      <xdr:colOff>422617</xdr:colOff>
      <xdr:row>24</xdr:row>
      <xdr:rowOff>41942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4420297" y="2840443"/>
          <a:ext cx="259262" cy="1773499"/>
          <a:chOff x="-3" y="-53776"/>
          <a:chExt cx="435432" cy="2941417"/>
        </a:xfrm>
        <a:solidFill>
          <a:srgbClr val="F37168"/>
        </a:solidFill>
      </xdr:grpSpPr>
      <xdr:sp macro="" textlink="Auxiliar!R18">
        <xdr:nvSpPr>
          <xdr:cNvPr id="53" name="Elips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0" y="-53776"/>
            <a:ext cx="435429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F5C0DB60-3F70-4F0A-A394-A145E683D370}" type="TxLink">
              <a:rPr lang="en-US" sz="900" b="0" i="0" u="none" strike="noStrike">
                <a:solidFill>
                  <a:srgbClr val="6B1009"/>
                </a:solidFill>
                <a:latin typeface="DIN" panose="00000400000000000000" pitchFamily="2" charset="0"/>
                <a:cs typeface="Calibri"/>
              </a:rPr>
              <a:pPr algn="ctr"/>
              <a:t>0</a:t>
            </a:fld>
            <a:endParaRPr lang="pt-BR" sz="900" b="1">
              <a:solidFill>
                <a:srgbClr val="6B1009"/>
              </a:solidFill>
              <a:latin typeface="DIN" panose="00000400000000000000" pitchFamily="2" charset="0"/>
            </a:endParaRPr>
          </a:p>
        </xdr:txBody>
      </xdr:sp>
      <xdr:sp macro="" textlink="Auxiliar!R17">
        <xdr:nvSpPr>
          <xdr:cNvPr id="54" name="Elipse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-3" y="573619"/>
            <a:ext cx="435429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AD6ACD1-F271-4D33-AE89-22EAA46EC5E9}" type="TxLink">
              <a:rPr lang="en-US" sz="900" b="0" i="0" u="none" strike="noStrike">
                <a:solidFill>
                  <a:srgbClr val="6B1009"/>
                </a:solidFill>
                <a:latin typeface="DIN" panose="00000400000000000000" pitchFamily="2" charset="0"/>
                <a:cs typeface="Calibri"/>
              </a:rPr>
              <a:pPr algn="ctr"/>
              <a:t>1</a:t>
            </a:fld>
            <a:endParaRPr lang="pt-BR" sz="900" b="1">
              <a:solidFill>
                <a:srgbClr val="6B1009"/>
              </a:solidFill>
              <a:latin typeface="DIN" panose="00000400000000000000" pitchFamily="2" charset="0"/>
            </a:endParaRPr>
          </a:p>
        </xdr:txBody>
      </xdr:sp>
      <xdr:sp macro="" textlink="Auxiliar!R16">
        <xdr:nvSpPr>
          <xdr:cNvPr id="55" name="Elips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0" y="1193212"/>
            <a:ext cx="435429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C3D5E3C0-EC30-4ECF-B841-8985004E8F3E}" type="TxLink">
              <a:rPr lang="en-US" sz="900" b="0" i="0" u="none" strike="noStrike">
                <a:solidFill>
                  <a:srgbClr val="6B1009"/>
                </a:solidFill>
                <a:latin typeface="DIN" panose="00000400000000000000" pitchFamily="2" charset="0"/>
                <a:cs typeface="Calibri"/>
              </a:rPr>
              <a:pPr algn="ctr"/>
              <a:t>4</a:t>
            </a:fld>
            <a:endParaRPr lang="pt-BR" sz="900" b="1">
              <a:solidFill>
                <a:srgbClr val="6B1009"/>
              </a:solidFill>
              <a:latin typeface="DIN" panose="00000400000000000000" pitchFamily="2" charset="0"/>
            </a:endParaRPr>
          </a:p>
        </xdr:txBody>
      </xdr:sp>
      <xdr:sp macro="" textlink="Auxiliar!R15">
        <xdr:nvSpPr>
          <xdr:cNvPr id="56" name="Elipse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>
            <a:off x="0" y="1818050"/>
            <a:ext cx="435429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D8832F61-EA79-48F1-8382-F936A35864CD}" type="TxLink">
              <a:rPr lang="en-US" sz="900" b="0" i="0" u="none" strike="noStrike">
                <a:solidFill>
                  <a:srgbClr val="6B1009"/>
                </a:solidFill>
                <a:latin typeface="DIN" panose="00000400000000000000" pitchFamily="2" charset="0"/>
                <a:cs typeface="Calibri"/>
              </a:rPr>
              <a:pPr algn="ctr"/>
              <a:t>8</a:t>
            </a:fld>
            <a:endParaRPr lang="pt-BR" sz="900" b="1">
              <a:solidFill>
                <a:srgbClr val="6B1009"/>
              </a:solidFill>
              <a:latin typeface="DIN" panose="00000400000000000000" pitchFamily="2" charset="0"/>
            </a:endParaRPr>
          </a:p>
        </xdr:txBody>
      </xdr:sp>
      <xdr:sp macro="" textlink="Auxiliar!R14">
        <xdr:nvSpPr>
          <xdr:cNvPr id="57" name="Elipse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0" y="2452213"/>
            <a:ext cx="435429" cy="435428"/>
          </a:xfrm>
          <a:prstGeom prst="ellipse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fld id="{9F12F706-DAC6-4356-AC9C-7A13BD30E753}" type="TxLink">
              <a:rPr lang="en-US" sz="900" b="0" i="0" u="none" strike="noStrike">
                <a:solidFill>
                  <a:srgbClr val="6B1009"/>
                </a:solidFill>
                <a:latin typeface="DIN" panose="00000400000000000000" pitchFamily="2" charset="0"/>
                <a:cs typeface="Calibri"/>
              </a:rPr>
              <a:pPr algn="ctr"/>
              <a:t>6</a:t>
            </a:fld>
            <a:endParaRPr lang="pt-BR" sz="900" b="1">
              <a:solidFill>
                <a:srgbClr val="6B1009"/>
              </a:solidFill>
              <a:latin typeface="DIN" panose="00000400000000000000" pitchFamily="2" charset="0"/>
            </a:endParaRPr>
          </a:p>
        </xdr:txBody>
      </xdr:sp>
    </xdr:grpSp>
    <xdr:clientData/>
  </xdr:twoCellAnchor>
  <xdr:twoCellAnchor>
    <xdr:from>
      <xdr:col>6</xdr:col>
      <xdr:colOff>118981</xdr:colOff>
      <xdr:row>13</xdr:row>
      <xdr:rowOff>163016</xdr:rowOff>
    </xdr:from>
    <xdr:to>
      <xdr:col>7</xdr:col>
      <xdr:colOff>19634</xdr:colOff>
      <xdr:row>23</xdr:row>
      <xdr:rowOff>84969</xdr:rowOff>
    </xdr:to>
    <xdr:grpSp>
      <xdr:nvGrpSpPr>
        <xdr:cNvPr id="5122" name="Agrupar 5121">
          <a:extLst>
            <a:ext uri="{FF2B5EF4-FFF2-40B4-BE49-F238E27FC236}">
              <a16:creationId xmlns:a16="http://schemas.microsoft.com/office/drawing/2014/main" id="{00000000-0008-0000-0000-000002140000}"/>
            </a:ext>
          </a:extLst>
        </xdr:cNvPr>
        <xdr:cNvGrpSpPr/>
      </xdr:nvGrpSpPr>
      <xdr:grpSpPr>
        <a:xfrm>
          <a:off x="3767789" y="2639516"/>
          <a:ext cx="508787" cy="1826953"/>
          <a:chOff x="2744053" y="2707513"/>
          <a:chExt cx="512258" cy="1826953"/>
        </a:xfrm>
      </xdr:grpSpPr>
      <xdr:sp macro="" textlink="Auxiliar!S18">
        <xdr:nvSpPr>
          <xdr:cNvPr id="5139" name="CaixaDeTexto 5138">
            <a:extLst>
              <a:ext uri="{FF2B5EF4-FFF2-40B4-BE49-F238E27FC236}">
                <a16:creationId xmlns:a16="http://schemas.microsoft.com/office/drawing/2014/main" id="{00000000-0008-0000-0000-000013140000}"/>
              </a:ext>
            </a:extLst>
          </xdr:cNvPr>
          <xdr:cNvSpPr txBox="1"/>
        </xdr:nvSpPr>
        <xdr:spPr>
          <a:xfrm>
            <a:off x="2744053" y="2707513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73115A9E-4A01-4351-A0B7-F61B751BFB85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0,00%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S17">
        <xdr:nvSpPr>
          <xdr:cNvPr id="5147" name="CaixaDeTexto 5146">
            <a:extLst>
              <a:ext uri="{FF2B5EF4-FFF2-40B4-BE49-F238E27FC236}">
                <a16:creationId xmlns:a16="http://schemas.microsoft.com/office/drawing/2014/main" id="{00000000-0008-0000-0000-00001B140000}"/>
              </a:ext>
            </a:extLst>
          </xdr:cNvPr>
          <xdr:cNvSpPr txBox="1"/>
        </xdr:nvSpPr>
        <xdr:spPr>
          <a:xfrm>
            <a:off x="2744053" y="3083194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C34640CD-D7B5-4C72-82F9-8FD8D2B7C3A2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5,26%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S16">
        <xdr:nvSpPr>
          <xdr:cNvPr id="5150" name="CaixaDeTexto 5149">
            <a:extLst>
              <a:ext uri="{FF2B5EF4-FFF2-40B4-BE49-F238E27FC236}">
                <a16:creationId xmlns:a16="http://schemas.microsoft.com/office/drawing/2014/main" id="{00000000-0008-0000-0000-00001E140000}"/>
              </a:ext>
            </a:extLst>
          </xdr:cNvPr>
          <xdr:cNvSpPr txBox="1"/>
        </xdr:nvSpPr>
        <xdr:spPr>
          <a:xfrm>
            <a:off x="2744053" y="3452071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0D1FD2A6-EE7B-4637-9552-E93A662D858B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21,05%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S15">
        <xdr:nvSpPr>
          <xdr:cNvPr id="5154" name="CaixaDeTexto 5153">
            <a:extLst>
              <a:ext uri="{FF2B5EF4-FFF2-40B4-BE49-F238E27FC236}">
                <a16:creationId xmlns:a16="http://schemas.microsoft.com/office/drawing/2014/main" id="{00000000-0008-0000-0000-000022140000}"/>
              </a:ext>
            </a:extLst>
          </xdr:cNvPr>
          <xdr:cNvSpPr txBox="1"/>
        </xdr:nvSpPr>
        <xdr:spPr>
          <a:xfrm>
            <a:off x="2744053" y="3837958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8D58030B-5777-44DB-90AE-19864E5460BB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42,11%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S14">
        <xdr:nvSpPr>
          <xdr:cNvPr id="5155" name="CaixaDeTexto 5154">
            <a:extLst>
              <a:ext uri="{FF2B5EF4-FFF2-40B4-BE49-F238E27FC236}">
                <a16:creationId xmlns:a16="http://schemas.microsoft.com/office/drawing/2014/main" id="{00000000-0008-0000-0000-000023140000}"/>
              </a:ext>
            </a:extLst>
          </xdr:cNvPr>
          <xdr:cNvSpPr txBox="1"/>
        </xdr:nvSpPr>
        <xdr:spPr>
          <a:xfrm>
            <a:off x="2744053" y="4213639"/>
            <a:ext cx="512258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Ins="0" bIns="0" rtlCol="0" anchor="ctr" anchorCtr="0"/>
          <a:lstStyle/>
          <a:p>
            <a:pPr algn="r"/>
            <a:fld id="{201748B0-D2D4-4E53-826A-DBAED43E6609}" type="TxLink">
              <a:rPr lang="en-US" sz="7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r"/>
              <a:t>31,58%</a:t>
            </a:fld>
            <a:endParaRPr lang="en-US" sz="7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</xdr:grpSp>
    <xdr:clientData/>
  </xdr:twoCellAnchor>
  <xdr:twoCellAnchor>
    <xdr:from>
      <xdr:col>5</xdr:col>
      <xdr:colOff>195943</xdr:colOff>
      <xdr:row>14</xdr:row>
      <xdr:rowOff>118074</xdr:rowOff>
    </xdr:from>
    <xdr:to>
      <xdr:col>5</xdr:col>
      <xdr:colOff>604102</xdr:colOff>
      <xdr:row>24</xdr:row>
      <xdr:rowOff>65383</xdr:rowOff>
    </xdr:to>
    <xdr:grpSp>
      <xdr:nvGrpSpPr>
        <xdr:cNvPr id="5168" name="Agrupar 5167">
          <a:extLst>
            <a:ext uri="{FF2B5EF4-FFF2-40B4-BE49-F238E27FC236}">
              <a16:creationId xmlns:a16="http://schemas.microsoft.com/office/drawing/2014/main" id="{00000000-0008-0000-0000-000030140000}"/>
            </a:ext>
          </a:extLst>
        </xdr:cNvPr>
        <xdr:cNvGrpSpPr/>
      </xdr:nvGrpSpPr>
      <xdr:grpSpPr>
        <a:xfrm>
          <a:off x="3236616" y="2785074"/>
          <a:ext cx="408159" cy="1852309"/>
          <a:chOff x="3240541" y="2785074"/>
          <a:chExt cx="408159" cy="1852309"/>
        </a:xfrm>
      </xdr:grpSpPr>
      <xdr:sp macro="" textlink="Auxiliar!$Q$7">
        <xdr:nvSpPr>
          <xdr:cNvPr id="5159" name="CaixaDeTexto 5158">
            <a:extLst>
              <a:ext uri="{FF2B5EF4-FFF2-40B4-BE49-F238E27FC236}">
                <a16:creationId xmlns:a16="http://schemas.microsoft.com/office/drawing/2014/main" id="{00000000-0008-0000-0000-000027140000}"/>
              </a:ext>
            </a:extLst>
          </xdr:cNvPr>
          <xdr:cNvSpPr txBox="1"/>
        </xdr:nvSpPr>
        <xdr:spPr>
          <a:xfrm>
            <a:off x="3240541" y="2785074"/>
            <a:ext cx="408159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pPr algn="ctr"/>
            <a:fld id="{56C36945-4A9A-4D2C-9AB4-A6A29C1CB3E0}" type="TxLink">
              <a:rPr lang="en-US" sz="10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ctr"/>
              <a:t>48-50</a:t>
            </a:fld>
            <a:endParaRPr lang="en-US" sz="10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$Q$6">
        <xdr:nvSpPr>
          <xdr:cNvPr id="5161" name="CaixaDeTexto 5160">
            <a:extLst>
              <a:ext uri="{FF2B5EF4-FFF2-40B4-BE49-F238E27FC236}">
                <a16:creationId xmlns:a16="http://schemas.microsoft.com/office/drawing/2014/main" id="{00000000-0008-0000-0000-000029140000}"/>
              </a:ext>
            </a:extLst>
          </xdr:cNvPr>
          <xdr:cNvSpPr txBox="1"/>
        </xdr:nvSpPr>
        <xdr:spPr>
          <a:xfrm>
            <a:off x="3240541" y="3179001"/>
            <a:ext cx="408159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pPr algn="ctr"/>
            <a:fld id="{84AAE0CF-6D20-482F-8667-6990DCE14A7D}" type="TxLink">
              <a:rPr lang="en-US" sz="10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ctr"/>
              <a:t>34-47</a:t>
            </a:fld>
            <a:endParaRPr lang="en-US" sz="10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$Q$5">
        <xdr:nvSpPr>
          <xdr:cNvPr id="5162" name="CaixaDeTexto 5161">
            <a:extLst>
              <a:ext uri="{FF2B5EF4-FFF2-40B4-BE49-F238E27FC236}">
                <a16:creationId xmlns:a16="http://schemas.microsoft.com/office/drawing/2014/main" id="{00000000-0008-0000-0000-00002A140000}"/>
              </a:ext>
            </a:extLst>
          </xdr:cNvPr>
          <xdr:cNvSpPr txBox="1"/>
        </xdr:nvSpPr>
        <xdr:spPr>
          <a:xfrm>
            <a:off x="3240541" y="3562722"/>
            <a:ext cx="408159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pPr algn="ctr"/>
            <a:fld id="{C84E5270-F5F4-4D4F-BE44-831AA0A48C3F}" type="TxLink">
              <a:rPr lang="en-US" sz="10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ctr"/>
              <a:t>30-33</a:t>
            </a:fld>
            <a:endParaRPr lang="en-US" sz="10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$Q$4">
        <xdr:nvSpPr>
          <xdr:cNvPr id="5165" name="CaixaDeTexto 5164">
            <a:extLst>
              <a:ext uri="{FF2B5EF4-FFF2-40B4-BE49-F238E27FC236}">
                <a16:creationId xmlns:a16="http://schemas.microsoft.com/office/drawing/2014/main" id="{00000000-0008-0000-0000-00002D140000}"/>
              </a:ext>
            </a:extLst>
          </xdr:cNvPr>
          <xdr:cNvSpPr txBox="1"/>
        </xdr:nvSpPr>
        <xdr:spPr>
          <a:xfrm>
            <a:off x="3240541" y="3936237"/>
            <a:ext cx="408159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pPr algn="ctr"/>
            <a:fld id="{8B5991A1-EC86-4B03-B51F-9CF1B197A2CA}" type="TxLink">
              <a:rPr lang="en-US" sz="10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ctr"/>
              <a:t>26-29</a:t>
            </a:fld>
            <a:endParaRPr lang="en-US" sz="10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  <xdr:sp macro="" textlink="Auxiliar!$Q$3">
        <xdr:nvSpPr>
          <xdr:cNvPr id="5167" name="CaixaDeTexto 5166">
            <a:extLst>
              <a:ext uri="{FF2B5EF4-FFF2-40B4-BE49-F238E27FC236}">
                <a16:creationId xmlns:a16="http://schemas.microsoft.com/office/drawing/2014/main" id="{00000000-0008-0000-0000-00002F140000}"/>
              </a:ext>
            </a:extLst>
          </xdr:cNvPr>
          <xdr:cNvSpPr txBox="1"/>
        </xdr:nvSpPr>
        <xdr:spPr>
          <a:xfrm>
            <a:off x="3240541" y="4316556"/>
            <a:ext cx="408159" cy="320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 anchorCtr="0"/>
          <a:lstStyle/>
          <a:p>
            <a:pPr algn="ctr"/>
            <a:fld id="{D05080F0-70C5-4BC0-8BAE-B27D433EA999}" type="TxLink">
              <a:rPr lang="en-US" sz="1000" b="0" i="0" u="none" strike="noStrike">
                <a:solidFill>
                  <a:schemeClr val="bg2"/>
                </a:solidFill>
                <a:latin typeface="DIN" panose="00000400000000000000" pitchFamily="2" charset="0"/>
                <a:cs typeface="Calibri"/>
              </a:rPr>
              <a:pPr algn="ctr"/>
              <a:t>22-25</a:t>
            </a:fld>
            <a:endParaRPr lang="en-US" sz="1000" b="1" i="0" u="none" strike="noStrike">
              <a:solidFill>
                <a:schemeClr val="bg2"/>
              </a:solidFill>
              <a:latin typeface="DIN" panose="00000400000000000000" pitchFamily="2" charset="0"/>
              <a:cs typeface="Calibri"/>
            </a:endParaRPr>
          </a:p>
        </xdr:txBody>
      </xdr:sp>
    </xdr:grpSp>
    <xdr:clientData/>
  </xdr:twoCellAnchor>
  <xdr:twoCellAnchor>
    <xdr:from>
      <xdr:col>19</xdr:col>
      <xdr:colOff>446944</xdr:colOff>
      <xdr:row>37</xdr:row>
      <xdr:rowOff>36100</xdr:rowOff>
    </xdr:from>
    <xdr:to>
      <xdr:col>23</xdr:col>
      <xdr:colOff>593644</xdr:colOff>
      <xdr:row>39</xdr:row>
      <xdr:rowOff>83707</xdr:rowOff>
    </xdr:to>
    <xdr:sp macro="" textlink="">
      <xdr:nvSpPr>
        <xdr:cNvPr id="5171" name="CaixaDeTexto 5170">
          <a:extLst>
            <a:ext uri="{FF2B5EF4-FFF2-40B4-BE49-F238E27FC236}">
              <a16:creationId xmlns:a16="http://schemas.microsoft.com/office/drawing/2014/main" id="{00000000-0008-0000-0000-000033140000}"/>
            </a:ext>
          </a:extLst>
        </xdr:cNvPr>
        <xdr:cNvSpPr txBox="1"/>
      </xdr:nvSpPr>
      <xdr:spPr>
        <a:xfrm>
          <a:off x="12001502" y="7084600"/>
          <a:ext cx="2579238" cy="4286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0" i="0" u="none" strike="noStrike">
              <a:solidFill>
                <a:schemeClr val="bg1"/>
              </a:solidFill>
              <a:latin typeface="DIN" panose="00000400000000000000" pitchFamily="2" charset="0"/>
              <a:cs typeface="Calibri"/>
            </a:rPr>
            <a:t>Desenvolvido por Alberto Araujo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0.06218</cdr:x>
      <cdr:y>0.15243</cdr:y>
    </cdr:from>
    <cdr:to>
      <cdr:x>0.86129</cdr:x>
      <cdr:y>0.84972</cdr:y>
    </cdr:to>
    <cdr:grpSp>
      <cdr:nvGrpSpPr>
        <cdr:cNvPr id="14" name="Agrupar 13">
          <a:extLst xmlns:a="http://schemas.openxmlformats.org/drawingml/2006/main">
            <a:ext uri="{FF2B5EF4-FFF2-40B4-BE49-F238E27FC236}">
              <a16:creationId xmlns:a16="http://schemas.microsoft.com/office/drawing/2014/main" id="{82252932-A28E-2297-D77E-101439ED079C}"/>
            </a:ext>
          </a:extLst>
        </cdr:cNvPr>
        <cdr:cNvGrpSpPr/>
      </cdr:nvGrpSpPr>
      <cdr:grpSpPr>
        <a:xfrm xmlns:a="http://schemas.openxmlformats.org/drawingml/2006/main">
          <a:off x="63952" y="330203"/>
          <a:ext cx="821877" cy="1510509"/>
          <a:chOff x="114330" y="418158"/>
          <a:chExt cx="1890238" cy="1912774"/>
        </a:xfrm>
      </cdr:grpSpPr>
      <cdr:cxnSp macro="">
        <cdr:nvCxnSpPr>
          <cdr:cNvPr id="3" name="Conector reto 2">
            <a:extLst xmlns:a="http://schemas.openxmlformats.org/drawingml/2006/main">
              <a:ext uri="{FF2B5EF4-FFF2-40B4-BE49-F238E27FC236}">
                <a16:creationId xmlns:a16="http://schemas.microsoft.com/office/drawing/2014/main" id="{AE6C6AE3-3958-0D40-A54A-DBBF7CA81329}"/>
              </a:ext>
            </a:extLst>
          </cdr:cNvPr>
          <cdr:cNvCxnSpPr/>
        </cdr:nvCxnSpPr>
        <cdr:spPr>
          <a:xfrm xmlns:a="http://schemas.openxmlformats.org/drawingml/2006/main">
            <a:off x="114330" y="418158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A2DFF2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9" name="Conector reto 8">
            <a:extLst xmlns:a="http://schemas.openxmlformats.org/drawingml/2006/main">
              <a:ext uri="{FF2B5EF4-FFF2-40B4-BE49-F238E27FC236}">
                <a16:creationId xmlns:a16="http://schemas.microsoft.com/office/drawing/2014/main" id="{AA1F49F8-7C82-BB75-B1E8-A286D3D3ED16}"/>
              </a:ext>
            </a:extLst>
          </cdr:cNvPr>
          <cdr:cNvCxnSpPr/>
        </cdr:nvCxnSpPr>
        <cdr:spPr>
          <a:xfrm xmlns:a="http://schemas.openxmlformats.org/drawingml/2006/main">
            <a:off x="114330" y="896724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A2DFF2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1" name="Conector reto 10">
            <a:extLst xmlns:a="http://schemas.openxmlformats.org/drawingml/2006/main">
              <a:ext uri="{FF2B5EF4-FFF2-40B4-BE49-F238E27FC236}">
                <a16:creationId xmlns:a16="http://schemas.microsoft.com/office/drawing/2014/main" id="{40B9500F-CA59-9A82-1719-3C27BF8B9E9C}"/>
              </a:ext>
            </a:extLst>
          </cdr:cNvPr>
          <cdr:cNvCxnSpPr/>
        </cdr:nvCxnSpPr>
        <cdr:spPr>
          <a:xfrm xmlns:a="http://schemas.openxmlformats.org/drawingml/2006/main">
            <a:off x="114330" y="1375292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A2DFF2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2" name="Conector reto 11">
            <a:extLst xmlns:a="http://schemas.openxmlformats.org/drawingml/2006/main">
              <a:ext uri="{FF2B5EF4-FFF2-40B4-BE49-F238E27FC236}">
                <a16:creationId xmlns:a16="http://schemas.microsoft.com/office/drawing/2014/main" id="{13944D9E-9480-2D96-7CDE-CEE7D292A43D}"/>
              </a:ext>
            </a:extLst>
          </cdr:cNvPr>
          <cdr:cNvCxnSpPr/>
        </cdr:nvCxnSpPr>
        <cdr:spPr>
          <a:xfrm xmlns:a="http://schemas.openxmlformats.org/drawingml/2006/main">
            <a:off x="114330" y="1849551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A2DFF2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3" name="Conector reto 12">
            <a:extLst xmlns:a="http://schemas.openxmlformats.org/drawingml/2006/main">
              <a:ext uri="{FF2B5EF4-FFF2-40B4-BE49-F238E27FC236}">
                <a16:creationId xmlns:a16="http://schemas.microsoft.com/office/drawing/2014/main" id="{FBD656A0-D9A3-4F0A-AA99-617F5FCCB9AA}"/>
              </a:ext>
            </a:extLst>
          </cdr:cNvPr>
          <cdr:cNvCxnSpPr/>
        </cdr:nvCxnSpPr>
        <cdr:spPr>
          <a:xfrm xmlns:a="http://schemas.openxmlformats.org/drawingml/2006/main">
            <a:off x="114330" y="2330932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A2DFF2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0.13573</cdr:x>
      <cdr:y>0.15243</cdr:y>
    </cdr:from>
    <cdr:to>
      <cdr:x>0.8646</cdr:x>
      <cdr:y>0.84972</cdr:y>
    </cdr:to>
    <cdr:grpSp>
      <cdr:nvGrpSpPr>
        <cdr:cNvPr id="14" name="Agrupar 13">
          <a:extLst xmlns:a="http://schemas.openxmlformats.org/drawingml/2006/main">
            <a:ext uri="{FF2B5EF4-FFF2-40B4-BE49-F238E27FC236}">
              <a16:creationId xmlns:a16="http://schemas.microsoft.com/office/drawing/2014/main" id="{82252932-A28E-2297-D77E-101439ED079C}"/>
            </a:ext>
          </a:extLst>
        </cdr:cNvPr>
        <cdr:cNvGrpSpPr/>
      </cdr:nvGrpSpPr>
      <cdr:grpSpPr>
        <a:xfrm xmlns:a="http://schemas.openxmlformats.org/drawingml/2006/main">
          <a:off x="139597" y="330203"/>
          <a:ext cx="749635" cy="1510509"/>
          <a:chOff x="114330" y="418158"/>
          <a:chExt cx="1890238" cy="1912774"/>
        </a:xfrm>
      </cdr:grpSpPr>
      <cdr:cxnSp macro="">
        <cdr:nvCxnSpPr>
          <cdr:cNvPr id="3" name="Conector reto 2">
            <a:extLst xmlns:a="http://schemas.openxmlformats.org/drawingml/2006/main">
              <a:ext uri="{FF2B5EF4-FFF2-40B4-BE49-F238E27FC236}">
                <a16:creationId xmlns:a16="http://schemas.microsoft.com/office/drawing/2014/main" id="{AE6C6AE3-3958-0D40-A54A-DBBF7CA81329}"/>
              </a:ext>
            </a:extLst>
          </cdr:cNvPr>
          <cdr:cNvCxnSpPr/>
        </cdr:nvCxnSpPr>
        <cdr:spPr>
          <a:xfrm xmlns:a="http://schemas.openxmlformats.org/drawingml/2006/main">
            <a:off x="114330" y="418158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F37168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9" name="Conector reto 8">
            <a:extLst xmlns:a="http://schemas.openxmlformats.org/drawingml/2006/main">
              <a:ext uri="{FF2B5EF4-FFF2-40B4-BE49-F238E27FC236}">
                <a16:creationId xmlns:a16="http://schemas.microsoft.com/office/drawing/2014/main" id="{AA1F49F8-7C82-BB75-B1E8-A286D3D3ED16}"/>
              </a:ext>
            </a:extLst>
          </cdr:cNvPr>
          <cdr:cNvCxnSpPr/>
        </cdr:nvCxnSpPr>
        <cdr:spPr>
          <a:xfrm xmlns:a="http://schemas.openxmlformats.org/drawingml/2006/main">
            <a:off x="114330" y="896724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F37168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1" name="Conector reto 10">
            <a:extLst xmlns:a="http://schemas.openxmlformats.org/drawingml/2006/main">
              <a:ext uri="{FF2B5EF4-FFF2-40B4-BE49-F238E27FC236}">
                <a16:creationId xmlns:a16="http://schemas.microsoft.com/office/drawing/2014/main" id="{40B9500F-CA59-9A82-1719-3C27BF8B9E9C}"/>
              </a:ext>
            </a:extLst>
          </cdr:cNvPr>
          <cdr:cNvCxnSpPr/>
        </cdr:nvCxnSpPr>
        <cdr:spPr>
          <a:xfrm xmlns:a="http://schemas.openxmlformats.org/drawingml/2006/main">
            <a:off x="114330" y="1375292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F37168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2" name="Conector reto 11">
            <a:extLst xmlns:a="http://schemas.openxmlformats.org/drawingml/2006/main">
              <a:ext uri="{FF2B5EF4-FFF2-40B4-BE49-F238E27FC236}">
                <a16:creationId xmlns:a16="http://schemas.microsoft.com/office/drawing/2014/main" id="{13944D9E-9480-2D96-7CDE-CEE7D292A43D}"/>
              </a:ext>
            </a:extLst>
          </cdr:cNvPr>
          <cdr:cNvCxnSpPr/>
        </cdr:nvCxnSpPr>
        <cdr:spPr>
          <a:xfrm xmlns:a="http://schemas.openxmlformats.org/drawingml/2006/main">
            <a:off x="114330" y="1849551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F37168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3" name="Conector reto 12">
            <a:extLst xmlns:a="http://schemas.openxmlformats.org/drawingml/2006/main">
              <a:ext uri="{FF2B5EF4-FFF2-40B4-BE49-F238E27FC236}">
                <a16:creationId xmlns:a16="http://schemas.microsoft.com/office/drawing/2014/main" id="{FBD656A0-D9A3-4F0A-AA99-617F5FCCB9AA}"/>
              </a:ext>
            </a:extLst>
          </cdr:cNvPr>
          <cdr:cNvCxnSpPr/>
        </cdr:nvCxnSpPr>
        <cdr:spPr>
          <a:xfrm xmlns:a="http://schemas.openxmlformats.org/drawingml/2006/main">
            <a:off x="114330" y="2330932"/>
            <a:ext cx="1890238" cy="0"/>
          </a:xfrm>
          <a:prstGeom xmlns:a="http://schemas.openxmlformats.org/drawingml/2006/main" prst="line">
            <a:avLst/>
          </a:prstGeom>
          <a:ln xmlns:a="http://schemas.openxmlformats.org/drawingml/2006/main" w="57150">
            <a:solidFill>
              <a:srgbClr val="F37168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49A11F-7A61-47BA-83AF-1F370D9FFE08}" name="Tabela1" displayName="Tabela1" ref="A1:AA45" totalsRowShown="0" headerRowDxfId="28" dataDxfId="27">
  <tableColumns count="27">
    <tableColumn id="1" xr3:uid="{4E856A5F-01DD-48C7-AAF8-A4D6DCA5A3AA}" name="Nome" dataDxfId="26"/>
    <tableColumn id="2" xr3:uid="{AB79A6FB-5795-4CE4-A5DE-9BC4906F02FB}" name="Gênero" dataDxfId="25"/>
    <tableColumn id="3" xr3:uid="{564D64F0-494D-462A-9FE7-03626FD47F6E}" name="Data Nascimento" dataDxfId="24"/>
    <tableColumn id="4" xr3:uid="{3C31AC6E-8581-448D-915B-8C770DDC04C1}" name="Idade" dataDxfId="23"/>
    <tableColumn id="5" xr3:uid="{627656C5-89BA-4436-8129-9906D07939C8}" name="Escolaridade" dataDxfId="22"/>
    <tableColumn id="6" xr3:uid="{9C355638-AE41-47DF-A750-4CD82A5B10A1}" name="Cargo" dataDxfId="21"/>
    <tableColumn id="7" xr3:uid="{B750577B-6CDC-45D1-A9E0-C78C7E82D832}" name="Área" dataDxfId="20"/>
    <tableColumn id="8" xr3:uid="{D2722274-8601-4142-A7A7-C8FA41E22152}" name="Salário" dataDxfId="19"/>
    <tableColumn id="9" xr3:uid="{67AD3F4C-8183-4B2A-87CA-551ED99404AD}" name="Data Admissão" dataDxfId="18"/>
    <tableColumn id="10" xr3:uid="{DA7DFCEB-2DD5-4698-960D-C63A15037171}" name="Data Demissão" dataDxfId="17"/>
    <tableColumn id="11" xr3:uid="{42ECF831-F695-4C52-94E3-67B745C8CE3C}" name="Motivo Demissão" dataDxfId="16"/>
    <tableColumn id="12" xr3:uid="{4F524932-DE1E-4001-AB3A-2E37B5BF7A7D}" name="Contrato" dataDxfId="15"/>
    <tableColumn id="13" xr3:uid="{2692862D-4D2A-4998-AFD9-C049DEEC878C}" name="PCD" dataDxfId="14"/>
    <tableColumn id="14" xr3:uid="{6F9B5F5B-3749-4B96-9CCD-9A879F50B749}" name="Alimentação" dataDxfId="13"/>
    <tableColumn id="15" xr3:uid="{E6E32B7B-973A-40AD-92A4-7891C5FEF15B}" name="Saúde" dataDxfId="12"/>
    <tableColumn id="16" xr3:uid="{0A361EFF-0714-4CAA-94C3-CBB282BB2DDA}" name="Odont" dataDxfId="11"/>
    <tableColumn id="17" xr3:uid="{B9D49822-A1E8-433F-B999-2FB9DBEE23FD}" name="Transporte" dataDxfId="10"/>
    <tableColumn id="18" xr3:uid="{8F68D883-3CE0-47C1-AAAA-B25C1C607B31}" name="Creche" dataDxfId="9"/>
    <tableColumn id="19" xr3:uid="{C39F1371-6505-43F9-898D-2EF7C4F35D8E}" name="Combustível" dataDxfId="8"/>
    <tableColumn id="20" xr3:uid="{1DC721C9-2BDD-47FD-9509-1D20FDE92056}" name="Benefícios" dataDxfId="7">
      <calculatedColumnFormula>SUM(Tabela1[[#This Row],[Alimentação]:[Combustível]])</calculatedColumnFormula>
    </tableColumn>
    <tableColumn id="21" xr3:uid="{5CFF2F61-A3CF-4254-9C3E-437D08F4FA76}" name="Tempo Empresa" dataDxfId="6">
      <calculatedColumnFormula>TODAY()-Tabela1[[#This Row],[Data Admissão]]</calculatedColumnFormula>
    </tableColumn>
    <tableColumn id="23" xr3:uid="{0897E4A1-7FA1-4FD1-BC12-8880115EA0A3}" name="Faixa Tempo Empresa" dataDxfId="5">
      <calculatedColumnFormula>VLOOKUP(Tabela1[[#This Row],[Tempo Empresa]],Auxiliar!$E$17:$G$22,3,TRUE)</calculatedColumnFormula>
    </tableColumn>
    <tableColumn id="22" xr3:uid="{2B9F7147-90E6-4B44-ADC7-2CC2865BC36F}" name="Faixa Salarial" dataDxfId="4">
      <calculatedColumnFormula>VLOOKUP(Tabela1[[#This Row],[Salário]],Auxiliar!$E$9:$G$14,3,TRUE)</calculatedColumnFormula>
    </tableColumn>
    <tableColumn id="24" xr3:uid="{70DA17C7-4FFE-4664-ABD5-E37EBCC15C39}" name="Faixa Idade" dataDxfId="3">
      <calculatedColumnFormula>VLOOKUP(Tabela1[[#This Row],[Idade]],Auxiliar!$E$1:$G$6,3,TRUE)</calculatedColumnFormula>
    </tableColumn>
    <tableColumn id="25" xr3:uid="{8FB24BE2-554F-4133-8482-7EA204CBE29C}" name="Status" dataDxfId="2">
      <calculatedColumnFormula>IF(Tabela1[[#This Row],[Data Demissão]]="-","Ativo","Desligado")</calculatedColumnFormula>
    </tableColumn>
    <tableColumn id="27" xr3:uid="{16543A28-2ECA-4170-B8AA-86742074623B}" name="Ano_cont" dataDxfId="1">
      <calculatedColumnFormula>YEAR(Tabela1[[#This Row],[Data Admissão]])</calculatedColumnFormula>
    </tableColumn>
    <tableColumn id="28" xr3:uid="{2ABD50DA-5A6F-4B44-A759-9E09FA25AE60}" name="Ano_Dem" dataDxfId="0">
      <calculatedColumnFormula>IFERROR(YEAR(Tabela1[[#This Row],[Data Demissão]]),"")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01CD6-9DCC-4C95-A12C-F6ACE3F96E55}">
  <sheetPr codeName="Planilha6">
    <tabColor theme="4" tint="0.59999389629810485"/>
  </sheetPr>
  <dimension ref="A1:Z70"/>
  <sheetViews>
    <sheetView showGridLines="0" showRowColHeaders="0" tabSelected="1" topLeftCell="B1" zoomScale="130" zoomScaleNormal="130" workbookViewId="0">
      <selection activeCell="Z17" sqref="Z17"/>
    </sheetView>
  </sheetViews>
  <sheetFormatPr defaultColWidth="0" defaultRowHeight="15" customHeight="1" x14ac:dyDescent="0.25"/>
  <cols>
    <col min="1" max="26" width="9.140625" customWidth="1"/>
    <col min="27" max="16384" width="9.140625" hidden="1"/>
  </cols>
  <sheetData>
    <row r="1" spans="1:26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x14ac:dyDescent="0.25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x14ac:dyDescent="0.25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x14ac:dyDescent="0.2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x14ac:dyDescent="0.25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2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25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25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25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25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25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25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x14ac:dyDescent="0.25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1:26" x14ac:dyDescent="0.25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25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t="15" hidden="1" customHeight="1" x14ac:dyDescent="0.25"/>
    <row r="66" ht="15" hidden="1" customHeight="1" x14ac:dyDescent="0.25"/>
    <row r="67" ht="15" hidden="1" customHeight="1" x14ac:dyDescent="0.25"/>
    <row r="68" ht="15" hidden="1" customHeight="1" x14ac:dyDescent="0.25"/>
    <row r="69" ht="15" hidden="1" customHeight="1" x14ac:dyDescent="0.25"/>
    <row r="70" ht="15" hidden="1" customHeight="1" x14ac:dyDescent="0.25"/>
  </sheetData>
  <sheetProtection algorithmName="SHA-512" hashValue="SIcsqmAIZqbpcu4VMnFEDOHxi8KuZeUuyE9PIv7TzBcDbLMm8Sv2zBZjJSokwQptKSxc+G/rokqrTGfZhdVi8w==" saltValue="qrZIH0hh1tdIvAXN6v1tVw==" spinCount="100000"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Drop Down 3">
              <controlPr defaultSize="0" autoLine="0" autoPict="0">
                <anchor moveWithCells="1">
                  <from>
                    <xdr:col>5</xdr:col>
                    <xdr:colOff>466725</xdr:colOff>
                    <xdr:row>8</xdr:row>
                    <xdr:rowOff>114300</xdr:rowOff>
                  </from>
                  <to>
                    <xdr:col>7</xdr:col>
                    <xdr:colOff>200025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Drop Down 4">
              <controlPr defaultSize="0" autoLine="0" autoPict="0">
                <anchor moveWithCells="1">
                  <from>
                    <xdr:col>3</xdr:col>
                    <xdr:colOff>323850</xdr:colOff>
                    <xdr:row>8</xdr:row>
                    <xdr:rowOff>114300</xdr:rowOff>
                  </from>
                  <to>
                    <xdr:col>5</xdr:col>
                    <xdr:colOff>57150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5">
              <controlPr defaultSize="0" autoLine="0" autoPict="0">
                <anchor moveWithCells="1">
                  <from>
                    <xdr:col>7</xdr:col>
                    <xdr:colOff>600075</xdr:colOff>
                    <xdr:row>8</xdr:row>
                    <xdr:rowOff>114300</xdr:rowOff>
                  </from>
                  <to>
                    <xdr:col>9</xdr:col>
                    <xdr:colOff>333375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30C8-242D-4A45-8EBE-24D78FC41FB9}">
  <sheetPr codeName="Planilha1">
    <tabColor theme="9" tint="0.59999389629810485"/>
  </sheetPr>
  <dimension ref="A1:AB47"/>
  <sheetViews>
    <sheetView showGridLines="0" workbookViewId="0">
      <selection activeCell="I11" sqref="I11"/>
    </sheetView>
  </sheetViews>
  <sheetFormatPr defaultColWidth="0" defaultRowHeight="15" zeroHeight="1" x14ac:dyDescent="0.25"/>
  <cols>
    <col min="1" max="1" width="16.7109375" bestFit="1" customWidth="1"/>
    <col min="2" max="2" width="10" bestFit="1" customWidth="1"/>
    <col min="3" max="3" width="18.140625" customWidth="1"/>
    <col min="4" max="5" width="11.5703125" customWidth="1"/>
    <col min="6" max="6" width="12.5703125" bestFit="1" customWidth="1"/>
    <col min="7" max="7" width="10" bestFit="1" customWidth="1"/>
    <col min="8" max="8" width="9.140625" customWidth="1"/>
    <col min="9" max="10" width="16.140625" customWidth="1"/>
    <col min="11" max="11" width="24.140625" customWidth="1"/>
    <col min="12" max="12" width="10.85546875" customWidth="1"/>
    <col min="13" max="13" width="6.7109375" customWidth="1"/>
    <col min="14" max="14" width="14.28515625" customWidth="1"/>
    <col min="15" max="15" width="8.5703125" customWidth="1"/>
    <col min="16" max="16" width="8.7109375" customWidth="1"/>
    <col min="17" max="17" width="12.7109375" customWidth="1"/>
    <col min="18" max="18" width="9.28515625" customWidth="1"/>
    <col min="19" max="19" width="14.140625" customWidth="1"/>
    <col min="20" max="20" width="12.28515625" customWidth="1"/>
    <col min="21" max="21" width="15.28515625" style="3" bestFit="1" customWidth="1"/>
    <col min="22" max="22" width="20.42578125" style="3" bestFit="1" customWidth="1"/>
    <col min="23" max="23" width="12.42578125" bestFit="1" customWidth="1"/>
    <col min="24" max="24" width="11" bestFit="1" customWidth="1"/>
    <col min="25" max="25" width="11.28515625" bestFit="1" customWidth="1"/>
    <col min="26" max="28" width="9.140625" customWidth="1"/>
    <col min="29" max="16384" width="9.140625" hidden="1"/>
  </cols>
  <sheetData>
    <row r="1" spans="1:2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s="3" t="s">
        <v>83</v>
      </c>
      <c r="V1" s="3" t="s">
        <v>86</v>
      </c>
      <c r="W1" t="s">
        <v>84</v>
      </c>
      <c r="X1" t="s">
        <v>87</v>
      </c>
      <c r="Y1" t="s">
        <v>91</v>
      </c>
      <c r="Z1" t="s">
        <v>113</v>
      </c>
      <c r="AA1" t="s">
        <v>114</v>
      </c>
    </row>
    <row r="2" spans="1:28" x14ac:dyDescent="0.25">
      <c r="A2" t="s">
        <v>20</v>
      </c>
      <c r="B2" t="s">
        <v>21</v>
      </c>
      <c r="C2" s="1">
        <v>33008</v>
      </c>
      <c r="D2">
        <v>33</v>
      </c>
      <c r="E2" t="s">
        <v>22</v>
      </c>
      <c r="F2" t="s">
        <v>23</v>
      </c>
      <c r="G2" t="s">
        <v>24</v>
      </c>
      <c r="H2">
        <v>4500</v>
      </c>
      <c r="I2" s="1">
        <v>44602</v>
      </c>
      <c r="J2" t="s">
        <v>25</v>
      </c>
      <c r="K2" t="s">
        <v>25</v>
      </c>
      <c r="L2" t="s">
        <v>26</v>
      </c>
      <c r="M2" t="s">
        <v>27</v>
      </c>
      <c r="N2">
        <v>400</v>
      </c>
      <c r="O2">
        <v>300</v>
      </c>
      <c r="P2">
        <v>100</v>
      </c>
      <c r="Q2">
        <v>200</v>
      </c>
      <c r="R2">
        <v>0</v>
      </c>
      <c r="S2">
        <v>150</v>
      </c>
      <c r="T2">
        <f>SUM(Tabela1[[#This Row],[Alimentação]:[Combustível]])</f>
        <v>1150</v>
      </c>
      <c r="U2" s="3">
        <f ca="1">TODAY()-Tabela1[[#This Row],[Data Admissão]]</f>
        <v>544</v>
      </c>
      <c r="V2" s="3" t="str">
        <f ca="1">VLOOKUP(Tabela1[[#This Row],[Tempo Empresa]],Auxiliar!$E$17:$G$22,3,TRUE)</f>
        <v>422-717</v>
      </c>
      <c r="W2" t="str">
        <f>VLOOKUP(Tabela1[[#This Row],[Salário]],Auxiliar!$E$9:$G$14,3,TRUE)</f>
        <v>3050-4999</v>
      </c>
      <c r="X2" t="str">
        <f ca="1">VLOOKUP(Tabela1[[#This Row],[Idade]],Auxiliar!$E$1:$G$6,3,TRUE)</f>
        <v>30-33</v>
      </c>
      <c r="Y2" t="s">
        <v>25</v>
      </c>
      <c r="Z2">
        <f>YEAR(Tabela1[[#This Row],[Data Admissão]])</f>
        <v>2022</v>
      </c>
      <c r="AA2" t="str">
        <f>IFERROR(YEAR(Tabela1[[#This Row],[Data Demissão]]),"")</f>
        <v/>
      </c>
      <c r="AB2" s="4"/>
    </row>
    <row r="3" spans="1:28" x14ac:dyDescent="0.25">
      <c r="A3" t="s">
        <v>28</v>
      </c>
      <c r="B3" t="s">
        <v>29</v>
      </c>
      <c r="C3" s="1">
        <v>32469</v>
      </c>
      <c r="D3">
        <v>34</v>
      </c>
      <c r="E3" t="s">
        <v>22</v>
      </c>
      <c r="F3" t="s">
        <v>30</v>
      </c>
      <c r="G3" t="s">
        <v>31</v>
      </c>
      <c r="H3">
        <v>10000</v>
      </c>
      <c r="I3" s="1">
        <v>44017</v>
      </c>
      <c r="J3" t="s">
        <v>25</v>
      </c>
      <c r="K3" t="s">
        <v>25</v>
      </c>
      <c r="L3" t="s">
        <v>26</v>
      </c>
      <c r="M3" t="s">
        <v>62</v>
      </c>
      <c r="N3">
        <v>600</v>
      </c>
      <c r="O3">
        <v>400</v>
      </c>
      <c r="P3">
        <v>150</v>
      </c>
      <c r="Q3">
        <v>300</v>
      </c>
      <c r="R3">
        <v>80</v>
      </c>
      <c r="S3">
        <v>200</v>
      </c>
      <c r="T3">
        <f>SUM(Tabela1[[#This Row],[Alimentação]:[Combustível]])</f>
        <v>1730</v>
      </c>
      <c r="U3" s="3">
        <f ca="1">TODAY()-Tabela1[[#This Row],[Data Admissão]]</f>
        <v>1129</v>
      </c>
      <c r="V3" s="3" t="str">
        <f ca="1">VLOOKUP(Tabela1[[#This Row],[Tempo Empresa]],Auxiliar!$E$17:$G$22,3,TRUE)</f>
        <v>1129-3062</v>
      </c>
      <c r="W3" t="str">
        <f>VLOOKUP(Tabela1[[#This Row],[Salário]],Auxiliar!$E$9:$G$14,3,TRUE)</f>
        <v>5000-10499</v>
      </c>
      <c r="X3" t="str">
        <f ca="1">VLOOKUP(Tabela1[[#This Row],[Idade]],Auxiliar!$E$1:$G$6,3,TRUE)</f>
        <v>34-47</v>
      </c>
      <c r="Y3" t="s">
        <v>101</v>
      </c>
      <c r="Z3">
        <f>YEAR(Tabela1[[#This Row],[Data Admissão]])</f>
        <v>2020</v>
      </c>
      <c r="AA3" t="str">
        <f>IFERROR(YEAR(Tabela1[[#This Row],[Data Demissão]]),"")</f>
        <v/>
      </c>
      <c r="AB3" s="4"/>
    </row>
    <row r="4" spans="1:28" x14ac:dyDescent="0.25">
      <c r="A4" t="s">
        <v>32</v>
      </c>
      <c r="B4" t="s">
        <v>21</v>
      </c>
      <c r="C4" s="1">
        <v>31116</v>
      </c>
      <c r="D4">
        <v>37</v>
      </c>
      <c r="E4" t="s">
        <v>22</v>
      </c>
      <c r="F4" t="s">
        <v>33</v>
      </c>
      <c r="G4" t="s">
        <v>34</v>
      </c>
      <c r="H4">
        <v>15000</v>
      </c>
      <c r="I4" s="1">
        <v>43115</v>
      </c>
      <c r="J4" t="s">
        <v>25</v>
      </c>
      <c r="K4" t="s">
        <v>25</v>
      </c>
      <c r="L4" t="s">
        <v>26</v>
      </c>
      <c r="M4" t="s">
        <v>27</v>
      </c>
      <c r="N4">
        <v>800</v>
      </c>
      <c r="O4">
        <v>500</v>
      </c>
      <c r="P4">
        <v>200</v>
      </c>
      <c r="Q4">
        <v>400</v>
      </c>
      <c r="R4">
        <v>0</v>
      </c>
      <c r="S4">
        <v>250</v>
      </c>
      <c r="T4">
        <f>SUM(Tabela1[[#This Row],[Alimentação]:[Combustível]])</f>
        <v>2150</v>
      </c>
      <c r="U4" s="3">
        <f ca="1">TODAY()-Tabela1[[#This Row],[Data Admissão]]</f>
        <v>2031</v>
      </c>
      <c r="V4" s="3" t="str">
        <f ca="1">VLOOKUP(Tabela1[[#This Row],[Tempo Empresa]],Auxiliar!$E$17:$G$22,3,TRUE)</f>
        <v>1129-3062</v>
      </c>
      <c r="W4" t="str">
        <f>VLOOKUP(Tabela1[[#This Row],[Salário]],Auxiliar!$E$9:$G$14,3,TRUE)</f>
        <v>10500-16999</v>
      </c>
      <c r="X4" t="str">
        <f ca="1">VLOOKUP(Tabela1[[#This Row],[Idade]],Auxiliar!$E$1:$G$6,3,TRUE)</f>
        <v>34-47</v>
      </c>
      <c r="Y4" t="s">
        <v>25</v>
      </c>
      <c r="Z4">
        <f>YEAR(Tabela1[[#This Row],[Data Admissão]])</f>
        <v>2018</v>
      </c>
      <c r="AA4" t="str">
        <f>IFERROR(YEAR(Tabela1[[#This Row],[Data Demissão]]),"")</f>
        <v/>
      </c>
      <c r="AB4" s="4"/>
    </row>
    <row r="5" spans="1:28" x14ac:dyDescent="0.25">
      <c r="A5" t="s">
        <v>35</v>
      </c>
      <c r="B5" t="s">
        <v>29</v>
      </c>
      <c r="C5" s="1">
        <v>36406</v>
      </c>
      <c r="D5">
        <v>23</v>
      </c>
      <c r="E5" t="s">
        <v>36</v>
      </c>
      <c r="F5" t="s">
        <v>37</v>
      </c>
      <c r="G5" t="s">
        <v>24</v>
      </c>
      <c r="H5">
        <v>1800</v>
      </c>
      <c r="I5" s="1">
        <v>45078</v>
      </c>
      <c r="J5" s="1">
        <v>45275</v>
      </c>
      <c r="K5" t="s">
        <v>38</v>
      </c>
      <c r="L5" t="s">
        <v>39</v>
      </c>
      <c r="M5" t="s">
        <v>27</v>
      </c>
      <c r="N5">
        <v>200</v>
      </c>
      <c r="O5">
        <v>150</v>
      </c>
      <c r="P5">
        <v>50</v>
      </c>
      <c r="Q5">
        <v>100</v>
      </c>
      <c r="R5">
        <v>0</v>
      </c>
      <c r="S5">
        <v>75</v>
      </c>
      <c r="T5">
        <f>SUM(Tabela1[[#This Row],[Alimentação]:[Combustível]])</f>
        <v>575</v>
      </c>
      <c r="U5" s="3">
        <f ca="1">TODAY()-Tabela1[[#This Row],[Data Admissão]]</f>
        <v>68</v>
      </c>
      <c r="V5" s="3" t="str">
        <f ca="1">VLOOKUP(Tabela1[[#This Row],[Tempo Empresa]],Auxiliar!$E$17:$G$22,3,TRUE)</f>
        <v>68-421</v>
      </c>
      <c r="W5" t="str">
        <f>VLOOKUP(Tabela1[[#This Row],[Salário]],Auxiliar!$E$9:$G$14,3,TRUE)</f>
        <v>1600-3049</v>
      </c>
      <c r="X5" t="str">
        <f ca="1">VLOOKUP(Tabela1[[#This Row],[Idade]],Auxiliar!$E$1:$G$6,3,TRUE)</f>
        <v>22-25</v>
      </c>
      <c r="Z5">
        <f>YEAR(Tabela1[[#This Row],[Data Admissão]])</f>
        <v>2023</v>
      </c>
      <c r="AA5">
        <f>IFERROR(YEAR(Tabela1[[#This Row],[Data Demissão]]),"")</f>
        <v>2023</v>
      </c>
      <c r="AB5" s="4"/>
    </row>
    <row r="6" spans="1:28" x14ac:dyDescent="0.25">
      <c r="A6" t="s">
        <v>40</v>
      </c>
      <c r="B6" t="s">
        <v>21</v>
      </c>
      <c r="C6" s="1">
        <v>28699</v>
      </c>
      <c r="D6">
        <v>45</v>
      </c>
      <c r="E6" t="s">
        <v>22</v>
      </c>
      <c r="F6" t="s">
        <v>23</v>
      </c>
      <c r="G6" t="s">
        <v>34</v>
      </c>
      <c r="H6">
        <v>3200</v>
      </c>
      <c r="I6" s="1">
        <v>42083</v>
      </c>
      <c r="J6" t="s">
        <v>25</v>
      </c>
      <c r="K6" t="s">
        <v>25</v>
      </c>
      <c r="L6" t="s">
        <v>26</v>
      </c>
      <c r="M6" t="s">
        <v>27</v>
      </c>
      <c r="N6">
        <v>1000</v>
      </c>
      <c r="O6">
        <v>800</v>
      </c>
      <c r="P6">
        <v>300</v>
      </c>
      <c r="Q6">
        <v>500</v>
      </c>
      <c r="R6">
        <v>0</v>
      </c>
      <c r="S6">
        <v>350</v>
      </c>
      <c r="T6">
        <f>SUM(Tabela1[[#This Row],[Alimentação]:[Combustível]])</f>
        <v>2950</v>
      </c>
      <c r="U6" s="3">
        <f ca="1">TODAY()-Tabela1[[#This Row],[Data Admissão]]</f>
        <v>3063</v>
      </c>
      <c r="V6" s="3" t="str">
        <f ca="1">VLOOKUP(Tabela1[[#This Row],[Tempo Empresa]],Auxiliar!$E$17:$G$22,3,TRUE)</f>
        <v>&gt;3063</v>
      </c>
      <c r="W6" t="str">
        <f>VLOOKUP(Tabela1[[#This Row],[Salário]],Auxiliar!$E$9:$G$14,3,TRUE)</f>
        <v>3050-4999</v>
      </c>
      <c r="X6" t="str">
        <f ca="1">VLOOKUP(Tabela1[[#This Row],[Idade]],Auxiliar!$E$1:$G$6,3,TRUE)</f>
        <v>34-47</v>
      </c>
      <c r="Y6" t="s">
        <v>25</v>
      </c>
      <c r="Z6">
        <f>YEAR(Tabela1[[#This Row],[Data Admissão]])</f>
        <v>2015</v>
      </c>
      <c r="AA6" t="str">
        <f>IFERROR(YEAR(Tabela1[[#This Row],[Data Demissão]]),"")</f>
        <v/>
      </c>
      <c r="AB6" s="4"/>
    </row>
    <row r="7" spans="1:28" x14ac:dyDescent="0.25">
      <c r="A7" t="s">
        <v>41</v>
      </c>
      <c r="B7" t="s">
        <v>29</v>
      </c>
      <c r="C7" s="1">
        <v>34383</v>
      </c>
      <c r="D7">
        <v>29</v>
      </c>
      <c r="E7" t="s">
        <v>22</v>
      </c>
      <c r="F7" t="s">
        <v>49</v>
      </c>
      <c r="G7" t="s">
        <v>31</v>
      </c>
      <c r="H7">
        <v>1750</v>
      </c>
      <c r="I7" s="1">
        <v>43779</v>
      </c>
      <c r="J7" s="1">
        <v>45019</v>
      </c>
      <c r="K7" t="s">
        <v>92</v>
      </c>
      <c r="L7" t="s">
        <v>26</v>
      </c>
      <c r="M7" t="s">
        <v>27</v>
      </c>
      <c r="N7">
        <v>500</v>
      </c>
      <c r="O7">
        <v>400</v>
      </c>
      <c r="P7">
        <v>200</v>
      </c>
      <c r="Q7">
        <v>250</v>
      </c>
      <c r="R7">
        <v>0</v>
      </c>
      <c r="S7">
        <v>200</v>
      </c>
      <c r="T7">
        <f>SUM(Tabela1[[#This Row],[Alimentação]:[Combustível]])</f>
        <v>1550</v>
      </c>
      <c r="U7" s="3">
        <f ca="1">TODAY()-Tabela1[[#This Row],[Data Admissão]]</f>
        <v>1367</v>
      </c>
      <c r="V7" s="3" t="str">
        <f ca="1">VLOOKUP(Tabela1[[#This Row],[Tempo Empresa]],Auxiliar!$E$17:$G$22,3,TRUE)</f>
        <v>1129-3062</v>
      </c>
      <c r="W7" t="str">
        <f>VLOOKUP(Tabela1[[#This Row],[Salário]],Auxiliar!$E$9:$G$14,3,TRUE)</f>
        <v>1600-3049</v>
      </c>
      <c r="X7" t="str">
        <f ca="1">VLOOKUP(Tabela1[[#This Row],[Idade]],Auxiliar!$E$1:$G$6,3,TRUE)</f>
        <v>26-29</v>
      </c>
      <c r="Y7" t="str">
        <f>IF(Tabela1[[#This Row],[Data Demissão]]="-","Ativo","Desligado")</f>
        <v>Desligado</v>
      </c>
      <c r="Z7">
        <f>YEAR(Tabela1[[#This Row],[Data Admissão]])</f>
        <v>2019</v>
      </c>
      <c r="AA7">
        <f>IFERROR(YEAR(Tabela1[[#This Row],[Data Demissão]]),"")</f>
        <v>2023</v>
      </c>
      <c r="AB7" s="4"/>
    </row>
    <row r="8" spans="1:28" x14ac:dyDescent="0.25">
      <c r="A8" t="s">
        <v>43</v>
      </c>
      <c r="B8" t="s">
        <v>21</v>
      </c>
      <c r="C8" s="1">
        <v>33090</v>
      </c>
      <c r="D8">
        <v>32</v>
      </c>
      <c r="E8" t="s">
        <v>22</v>
      </c>
      <c r="F8" t="s">
        <v>30</v>
      </c>
      <c r="G8" t="s">
        <v>34</v>
      </c>
      <c r="H8">
        <v>11000</v>
      </c>
      <c r="I8" s="1">
        <v>44017</v>
      </c>
      <c r="J8" t="s">
        <v>25</v>
      </c>
      <c r="K8" t="s">
        <v>25</v>
      </c>
      <c r="L8" t="s">
        <v>26</v>
      </c>
      <c r="M8" t="s">
        <v>27</v>
      </c>
      <c r="N8">
        <v>600</v>
      </c>
      <c r="O8">
        <v>450</v>
      </c>
      <c r="P8">
        <v>150</v>
      </c>
      <c r="Q8">
        <v>300</v>
      </c>
      <c r="R8">
        <v>0</v>
      </c>
      <c r="S8">
        <v>200</v>
      </c>
      <c r="T8">
        <f>SUM(Tabela1[[#This Row],[Alimentação]:[Combustível]])</f>
        <v>1700</v>
      </c>
      <c r="U8" s="3">
        <f ca="1">TODAY()-Tabela1[[#This Row],[Data Admissão]]</f>
        <v>1129</v>
      </c>
      <c r="V8" s="3" t="str">
        <f ca="1">VLOOKUP(Tabela1[[#This Row],[Tempo Empresa]],Auxiliar!$E$17:$G$22,3,TRUE)</f>
        <v>1129-3062</v>
      </c>
      <c r="W8" t="str">
        <f>VLOOKUP(Tabela1[[#This Row],[Salário]],Auxiliar!$E$9:$G$14,3,TRUE)</f>
        <v>10500-16999</v>
      </c>
      <c r="X8" t="str">
        <f ca="1">VLOOKUP(Tabela1[[#This Row],[Idade]],Auxiliar!$E$1:$G$6,3,TRUE)</f>
        <v>30-33</v>
      </c>
      <c r="Y8" t="s">
        <v>25</v>
      </c>
      <c r="Z8">
        <f>YEAR(Tabela1[[#This Row],[Data Admissão]])</f>
        <v>2020</v>
      </c>
      <c r="AA8" t="str">
        <f>IFERROR(YEAR(Tabela1[[#This Row],[Data Demissão]]),"")</f>
        <v/>
      </c>
    </row>
    <row r="9" spans="1:28" x14ac:dyDescent="0.25">
      <c r="A9" t="s">
        <v>44</v>
      </c>
      <c r="B9" t="s">
        <v>29</v>
      </c>
      <c r="C9" s="1">
        <v>35228</v>
      </c>
      <c r="D9">
        <v>26</v>
      </c>
      <c r="E9" t="s">
        <v>22</v>
      </c>
      <c r="F9" t="s">
        <v>23</v>
      </c>
      <c r="G9" t="s">
        <v>24</v>
      </c>
      <c r="H9">
        <v>3500</v>
      </c>
      <c r="I9" s="1">
        <v>44301</v>
      </c>
      <c r="J9" t="s">
        <v>25</v>
      </c>
      <c r="K9" t="s">
        <v>25</v>
      </c>
      <c r="L9" t="s">
        <v>26</v>
      </c>
      <c r="M9" t="s">
        <v>27</v>
      </c>
      <c r="N9">
        <v>400</v>
      </c>
      <c r="O9">
        <v>350</v>
      </c>
      <c r="P9">
        <v>100</v>
      </c>
      <c r="Q9">
        <v>200</v>
      </c>
      <c r="R9">
        <v>0</v>
      </c>
      <c r="S9">
        <v>150</v>
      </c>
      <c r="T9">
        <f>SUM(Tabela1[[#This Row],[Alimentação]:[Combustível]])</f>
        <v>1200</v>
      </c>
      <c r="U9" s="3">
        <f ca="1">TODAY()-Tabela1[[#This Row],[Data Admissão]]</f>
        <v>845</v>
      </c>
      <c r="V9" s="3" t="str">
        <f ca="1">VLOOKUP(Tabela1[[#This Row],[Tempo Empresa]],Auxiliar!$E$17:$G$22,3,TRUE)</f>
        <v>718-1128</v>
      </c>
      <c r="W9" t="str">
        <f>VLOOKUP(Tabela1[[#This Row],[Salário]],Auxiliar!$E$9:$G$14,3,TRUE)</f>
        <v>3050-4999</v>
      </c>
      <c r="X9" t="str">
        <f ca="1">VLOOKUP(Tabela1[[#This Row],[Idade]],Auxiliar!$E$1:$G$6,3,TRUE)</f>
        <v>26-29</v>
      </c>
      <c r="Y9" t="s">
        <v>25</v>
      </c>
      <c r="Z9">
        <f>YEAR(Tabela1[[#This Row],[Data Admissão]])</f>
        <v>2021</v>
      </c>
      <c r="AA9" t="str">
        <f>IFERROR(YEAR(Tabela1[[#This Row],[Data Demissão]]),"")</f>
        <v/>
      </c>
    </row>
    <row r="10" spans="1:28" x14ac:dyDescent="0.25">
      <c r="A10" t="s">
        <v>45</v>
      </c>
      <c r="B10" t="s">
        <v>29</v>
      </c>
      <c r="C10" s="1">
        <v>35703</v>
      </c>
      <c r="D10">
        <v>25</v>
      </c>
      <c r="E10" t="s">
        <v>22</v>
      </c>
      <c r="F10" t="s">
        <v>49</v>
      </c>
      <c r="G10" t="s">
        <v>34</v>
      </c>
      <c r="H10">
        <v>2000</v>
      </c>
      <c r="I10" s="1">
        <v>44839</v>
      </c>
      <c r="J10" t="s">
        <v>25</v>
      </c>
      <c r="K10" t="s">
        <v>25</v>
      </c>
      <c r="L10" t="s">
        <v>26</v>
      </c>
      <c r="M10" t="s">
        <v>62</v>
      </c>
      <c r="N10">
        <v>500</v>
      </c>
      <c r="O10">
        <v>400</v>
      </c>
      <c r="P10">
        <v>200</v>
      </c>
      <c r="Q10">
        <v>250</v>
      </c>
      <c r="R10">
        <v>0</v>
      </c>
      <c r="S10">
        <v>200</v>
      </c>
      <c r="T10">
        <f>SUM(Tabela1[[#This Row],[Alimentação]:[Combustível]])</f>
        <v>1550</v>
      </c>
      <c r="U10" s="3">
        <f ca="1">TODAY()-Tabela1[[#This Row],[Data Admissão]]</f>
        <v>307</v>
      </c>
      <c r="V10" s="3" t="str">
        <f ca="1">VLOOKUP(Tabela1[[#This Row],[Tempo Empresa]],Auxiliar!$E$17:$G$22,3,TRUE)</f>
        <v>68-421</v>
      </c>
      <c r="W10" t="str">
        <f>VLOOKUP(Tabela1[[#This Row],[Salário]],Auxiliar!$E$9:$G$14,3,TRUE)</f>
        <v>1600-3049</v>
      </c>
      <c r="X10" t="str">
        <f ca="1">VLOOKUP(Tabela1[[#This Row],[Idade]],Auxiliar!$E$1:$G$6,3,TRUE)</f>
        <v>22-25</v>
      </c>
      <c r="Y10" t="s">
        <v>118</v>
      </c>
      <c r="Z10">
        <f>YEAR(Tabela1[[#This Row],[Data Admissão]])</f>
        <v>2022</v>
      </c>
      <c r="AA10" t="str">
        <f>IFERROR(YEAR(Tabela1[[#This Row],[Data Demissão]]),"")</f>
        <v/>
      </c>
    </row>
    <row r="11" spans="1:28" x14ac:dyDescent="0.25">
      <c r="A11" t="s">
        <v>46</v>
      </c>
      <c r="B11" t="s">
        <v>21</v>
      </c>
      <c r="C11" s="1">
        <v>32601</v>
      </c>
      <c r="D11">
        <v>32</v>
      </c>
      <c r="E11" t="s">
        <v>22</v>
      </c>
      <c r="F11" t="s">
        <v>23</v>
      </c>
      <c r="G11" t="s">
        <v>31</v>
      </c>
      <c r="H11">
        <v>3000</v>
      </c>
      <c r="I11" s="1">
        <v>44395</v>
      </c>
      <c r="J11" t="s">
        <v>25</v>
      </c>
      <c r="K11" t="s">
        <v>25</v>
      </c>
      <c r="L11" t="s">
        <v>26</v>
      </c>
      <c r="M11" t="s">
        <v>27</v>
      </c>
      <c r="N11">
        <v>450</v>
      </c>
      <c r="O11">
        <v>300</v>
      </c>
      <c r="P11">
        <v>120</v>
      </c>
      <c r="Q11">
        <v>180</v>
      </c>
      <c r="R11">
        <v>0</v>
      </c>
      <c r="S11">
        <v>120</v>
      </c>
      <c r="T11">
        <f>SUM(Tabela1[[#This Row],[Alimentação]:[Combustível]])</f>
        <v>1170</v>
      </c>
      <c r="U11" s="3">
        <f ca="1">TODAY()-Tabela1[[#This Row],[Data Admissão]]</f>
        <v>751</v>
      </c>
      <c r="V11" s="3" t="str">
        <f ca="1">VLOOKUP(Tabela1[[#This Row],[Tempo Empresa]],Auxiliar!$E$17:$G$22,3,TRUE)</f>
        <v>718-1128</v>
      </c>
      <c r="W11" t="str">
        <f>VLOOKUP(Tabela1[[#This Row],[Salário]],Auxiliar!$E$9:$G$14,3,TRUE)</f>
        <v>1600-3049</v>
      </c>
      <c r="X11" t="str">
        <f ca="1">VLOOKUP(Tabela1[[#This Row],[Idade]],Auxiliar!$E$1:$G$6,3,TRUE)</f>
        <v>30-33</v>
      </c>
      <c r="Y11" t="s">
        <v>25</v>
      </c>
      <c r="Z11">
        <f>YEAR(Tabela1[[#This Row],[Data Admissão]])</f>
        <v>2021</v>
      </c>
      <c r="AA11" t="str">
        <f>IFERROR(YEAR(Tabela1[[#This Row],[Data Demissão]]),"")</f>
        <v/>
      </c>
    </row>
    <row r="12" spans="1:28" x14ac:dyDescent="0.25">
      <c r="A12" t="s">
        <v>47</v>
      </c>
      <c r="B12" t="s">
        <v>29</v>
      </c>
      <c r="C12" s="1">
        <v>34254</v>
      </c>
      <c r="D12">
        <v>28</v>
      </c>
      <c r="E12" t="s">
        <v>36</v>
      </c>
      <c r="F12" t="s">
        <v>37</v>
      </c>
      <c r="G12" t="s">
        <v>34</v>
      </c>
      <c r="H12">
        <v>1600</v>
      </c>
      <c r="I12" s="1">
        <v>44977</v>
      </c>
      <c r="J12" t="s">
        <v>25</v>
      </c>
      <c r="K12" t="s">
        <v>25</v>
      </c>
      <c r="L12" t="s">
        <v>39</v>
      </c>
      <c r="M12" t="s">
        <v>27</v>
      </c>
      <c r="N12">
        <v>180</v>
      </c>
      <c r="O12">
        <v>100</v>
      </c>
      <c r="P12">
        <v>30</v>
      </c>
      <c r="Q12">
        <v>80</v>
      </c>
      <c r="R12">
        <v>0</v>
      </c>
      <c r="S12">
        <v>50</v>
      </c>
      <c r="T12">
        <f>SUM(Tabela1[[#This Row],[Alimentação]:[Combustível]])</f>
        <v>440</v>
      </c>
      <c r="U12" s="3">
        <f ca="1">TODAY()-Tabela1[[#This Row],[Data Admissão]]</f>
        <v>169</v>
      </c>
      <c r="V12" s="3" t="str">
        <f ca="1">VLOOKUP(Tabela1[[#This Row],[Tempo Empresa]],Auxiliar!$E$17:$G$22,3,TRUE)</f>
        <v>68-421</v>
      </c>
      <c r="W12" t="str">
        <f>VLOOKUP(Tabela1[[#This Row],[Salário]],Auxiliar!$E$9:$G$14,3,TRUE)</f>
        <v>1600-3049</v>
      </c>
      <c r="X12" t="str">
        <f ca="1">VLOOKUP(Tabela1[[#This Row],[Idade]],Auxiliar!$E$1:$G$6,3,TRUE)</f>
        <v>26-29</v>
      </c>
      <c r="Z12">
        <f>YEAR(Tabela1[[#This Row],[Data Admissão]])</f>
        <v>2023</v>
      </c>
      <c r="AA12" t="str">
        <f>IFERROR(YEAR(Tabela1[[#This Row],[Data Demissão]]),"")</f>
        <v/>
      </c>
    </row>
    <row r="13" spans="1:28" x14ac:dyDescent="0.25">
      <c r="A13" t="s">
        <v>48</v>
      </c>
      <c r="B13" t="s">
        <v>21</v>
      </c>
      <c r="C13" s="1">
        <v>35762</v>
      </c>
      <c r="D13">
        <v>25</v>
      </c>
      <c r="E13" t="s">
        <v>36</v>
      </c>
      <c r="F13" t="s">
        <v>49</v>
      </c>
      <c r="G13" t="s">
        <v>24</v>
      </c>
      <c r="H13">
        <v>3100</v>
      </c>
      <c r="I13" s="1">
        <v>44017</v>
      </c>
      <c r="J13" t="s">
        <v>25</v>
      </c>
      <c r="K13" t="s">
        <v>25</v>
      </c>
      <c r="L13" t="s">
        <v>26</v>
      </c>
      <c r="M13" t="s">
        <v>27</v>
      </c>
      <c r="N13">
        <v>300</v>
      </c>
      <c r="O13">
        <v>250</v>
      </c>
      <c r="P13">
        <v>80</v>
      </c>
      <c r="Q13">
        <v>150</v>
      </c>
      <c r="R13">
        <v>0</v>
      </c>
      <c r="S13">
        <v>100</v>
      </c>
      <c r="T13">
        <f>SUM(Tabela1[[#This Row],[Alimentação]:[Combustível]])</f>
        <v>880</v>
      </c>
      <c r="U13" s="3">
        <f ca="1">TODAY()-Tabela1[[#This Row],[Data Admissão]]</f>
        <v>1129</v>
      </c>
      <c r="V13" s="3" t="str">
        <f ca="1">VLOOKUP(Tabela1[[#This Row],[Tempo Empresa]],Auxiliar!$E$17:$G$22,3,TRUE)</f>
        <v>1129-3062</v>
      </c>
      <c r="W13" t="str">
        <f>VLOOKUP(Tabela1[[#This Row],[Salário]],Auxiliar!$E$9:$G$14,3,TRUE)</f>
        <v>3050-4999</v>
      </c>
      <c r="X13" t="str">
        <f ca="1">VLOOKUP(Tabela1[[#This Row],[Idade]],Auxiliar!$E$1:$G$6,3,TRUE)</f>
        <v>22-25</v>
      </c>
      <c r="Y13" t="s">
        <v>25</v>
      </c>
      <c r="Z13">
        <f>YEAR(Tabela1[[#This Row],[Data Admissão]])</f>
        <v>2020</v>
      </c>
      <c r="AA13" t="str">
        <f>IFERROR(YEAR(Tabela1[[#This Row],[Data Demissão]]),"")</f>
        <v/>
      </c>
    </row>
    <row r="14" spans="1:28" x14ac:dyDescent="0.25">
      <c r="A14" t="s">
        <v>50</v>
      </c>
      <c r="B14" t="s">
        <v>29</v>
      </c>
      <c r="C14" s="1">
        <v>33304</v>
      </c>
      <c r="D14">
        <v>30</v>
      </c>
      <c r="E14" t="s">
        <v>22</v>
      </c>
      <c r="F14" t="s">
        <v>49</v>
      </c>
      <c r="G14" t="s">
        <v>99</v>
      </c>
      <c r="H14">
        <v>5000</v>
      </c>
      <c r="I14" s="1">
        <v>45078</v>
      </c>
      <c r="J14" t="s">
        <v>25</v>
      </c>
      <c r="K14" t="s">
        <v>25</v>
      </c>
      <c r="L14" t="s">
        <v>26</v>
      </c>
      <c r="M14" t="s">
        <v>27</v>
      </c>
      <c r="N14">
        <v>600</v>
      </c>
      <c r="O14">
        <v>400</v>
      </c>
      <c r="P14">
        <v>180</v>
      </c>
      <c r="Q14">
        <v>250</v>
      </c>
      <c r="R14">
        <v>0</v>
      </c>
      <c r="S14">
        <v>200</v>
      </c>
      <c r="T14">
        <f>SUM(Tabela1[[#This Row],[Alimentação]:[Combustível]])</f>
        <v>1630</v>
      </c>
      <c r="U14" s="3">
        <f ca="1">TODAY()-Tabela1[[#This Row],[Data Admissão]]</f>
        <v>68</v>
      </c>
      <c r="V14" s="3" t="str">
        <f ca="1">VLOOKUP(Tabela1[[#This Row],[Tempo Empresa]],Auxiliar!$E$17:$G$22,3,TRUE)</f>
        <v>68-421</v>
      </c>
      <c r="W14" t="str">
        <f>VLOOKUP(Tabela1[[#This Row],[Salário]],Auxiliar!$E$9:$G$14,3,TRUE)</f>
        <v>5000-10499</v>
      </c>
      <c r="X14" t="str">
        <f ca="1">VLOOKUP(Tabela1[[#This Row],[Idade]],Auxiliar!$E$1:$G$6,3,TRUE)</f>
        <v>30-33</v>
      </c>
      <c r="Y14" t="s">
        <v>25</v>
      </c>
      <c r="Z14">
        <f>YEAR(Tabela1[[#This Row],[Data Admissão]])</f>
        <v>2023</v>
      </c>
      <c r="AA14" t="str">
        <f>IFERROR(YEAR(Tabela1[[#This Row],[Data Demissão]]),"")</f>
        <v/>
      </c>
    </row>
    <row r="15" spans="1:28" x14ac:dyDescent="0.25">
      <c r="A15" t="s">
        <v>51</v>
      </c>
      <c r="B15" t="s">
        <v>21</v>
      </c>
      <c r="C15" s="1">
        <v>32007</v>
      </c>
      <c r="D15">
        <v>34</v>
      </c>
      <c r="E15" t="s">
        <v>22</v>
      </c>
      <c r="F15" t="s">
        <v>30</v>
      </c>
      <c r="G15" t="s">
        <v>24</v>
      </c>
      <c r="H15">
        <v>13000</v>
      </c>
      <c r="I15" s="1">
        <v>43933</v>
      </c>
      <c r="J15" t="s">
        <v>25</v>
      </c>
      <c r="K15" t="s">
        <v>25</v>
      </c>
      <c r="L15" t="s">
        <v>26</v>
      </c>
      <c r="M15" t="s">
        <v>27</v>
      </c>
      <c r="N15">
        <v>550</v>
      </c>
      <c r="O15">
        <v>350</v>
      </c>
      <c r="P15">
        <v>120</v>
      </c>
      <c r="Q15">
        <v>200</v>
      </c>
      <c r="R15">
        <v>0</v>
      </c>
      <c r="S15">
        <v>150</v>
      </c>
      <c r="T15">
        <f>SUM(Tabela1[[#This Row],[Alimentação]:[Combustível]])</f>
        <v>1370</v>
      </c>
      <c r="U15" s="3">
        <f ca="1">TODAY()-Tabela1[[#This Row],[Data Admissão]]</f>
        <v>1213</v>
      </c>
      <c r="V15" s="3" t="str">
        <f ca="1">VLOOKUP(Tabela1[[#This Row],[Tempo Empresa]],Auxiliar!$E$17:$G$22,3,TRUE)</f>
        <v>1129-3062</v>
      </c>
      <c r="W15" t="str">
        <f>VLOOKUP(Tabela1[[#This Row],[Salário]],Auxiliar!$E$9:$G$14,3,TRUE)</f>
        <v>10500-16999</v>
      </c>
      <c r="X15" t="str">
        <f ca="1">VLOOKUP(Tabela1[[#This Row],[Idade]],Auxiliar!$E$1:$G$6,3,TRUE)</f>
        <v>34-47</v>
      </c>
      <c r="Y15" t="s">
        <v>25</v>
      </c>
      <c r="Z15">
        <f>YEAR(Tabela1[[#This Row],[Data Admissão]])</f>
        <v>2020</v>
      </c>
      <c r="AA15" t="str">
        <f>IFERROR(YEAR(Tabela1[[#This Row],[Data Demissão]]),"")</f>
        <v/>
      </c>
    </row>
    <row r="16" spans="1:28" x14ac:dyDescent="0.25">
      <c r="A16" t="s">
        <v>52</v>
      </c>
      <c r="B16" t="s">
        <v>29</v>
      </c>
      <c r="C16" s="1">
        <v>34875</v>
      </c>
      <c r="D16">
        <v>28</v>
      </c>
      <c r="E16" t="s">
        <v>22</v>
      </c>
      <c r="F16" t="s">
        <v>23</v>
      </c>
      <c r="G16" t="s">
        <v>31</v>
      </c>
      <c r="H16">
        <v>3000</v>
      </c>
      <c r="I16" s="1">
        <v>44936</v>
      </c>
      <c r="J16" t="s">
        <v>25</v>
      </c>
      <c r="K16" t="s">
        <v>25</v>
      </c>
      <c r="L16" t="s">
        <v>26</v>
      </c>
      <c r="M16" t="s">
        <v>27</v>
      </c>
      <c r="N16">
        <v>400</v>
      </c>
      <c r="O16">
        <v>300</v>
      </c>
      <c r="P16">
        <v>100</v>
      </c>
      <c r="Q16">
        <v>180</v>
      </c>
      <c r="R16">
        <v>80</v>
      </c>
      <c r="S16">
        <v>120</v>
      </c>
      <c r="T16">
        <f>SUM(Tabela1[[#This Row],[Alimentação]:[Combustível]])</f>
        <v>1180</v>
      </c>
      <c r="U16" s="3">
        <f ca="1">TODAY()-Tabela1[[#This Row],[Data Admissão]]</f>
        <v>210</v>
      </c>
      <c r="V16" s="3" t="str">
        <f ca="1">VLOOKUP(Tabela1[[#This Row],[Tempo Empresa]],Auxiliar!$E$17:$G$22,3,TRUE)</f>
        <v>68-421</v>
      </c>
      <c r="W16" t="str">
        <f>VLOOKUP(Tabela1[[#This Row],[Salário]],Auxiliar!$E$9:$G$14,3,TRUE)</f>
        <v>1600-3049</v>
      </c>
      <c r="X16" t="str">
        <f ca="1">VLOOKUP(Tabela1[[#This Row],[Idade]],Auxiliar!$E$1:$G$6,3,TRUE)</f>
        <v>26-29</v>
      </c>
      <c r="Y16" t="s">
        <v>101</v>
      </c>
      <c r="Z16">
        <f>YEAR(Tabela1[[#This Row],[Data Admissão]])</f>
        <v>2023</v>
      </c>
      <c r="AA16" t="str">
        <f>IFERROR(YEAR(Tabela1[[#This Row],[Data Demissão]]),"")</f>
        <v/>
      </c>
    </row>
    <row r="17" spans="1:27" x14ac:dyDescent="0.25">
      <c r="A17" t="s">
        <v>53</v>
      </c>
      <c r="B17" t="s">
        <v>21</v>
      </c>
      <c r="C17" s="1">
        <v>35400</v>
      </c>
      <c r="D17">
        <v>27</v>
      </c>
      <c r="E17" t="s">
        <v>22</v>
      </c>
      <c r="F17" t="s">
        <v>37</v>
      </c>
      <c r="G17" t="s">
        <v>34</v>
      </c>
      <c r="H17">
        <v>1800</v>
      </c>
      <c r="I17" s="1">
        <v>44625</v>
      </c>
      <c r="J17" t="s">
        <v>25</v>
      </c>
      <c r="K17" t="s">
        <v>25</v>
      </c>
      <c r="L17" t="s">
        <v>39</v>
      </c>
      <c r="M17" t="s">
        <v>27</v>
      </c>
      <c r="N17">
        <v>200</v>
      </c>
      <c r="O17">
        <v>150</v>
      </c>
      <c r="P17">
        <v>40</v>
      </c>
      <c r="Q17">
        <v>80</v>
      </c>
      <c r="R17">
        <v>0</v>
      </c>
      <c r="S17">
        <v>75</v>
      </c>
      <c r="T17">
        <f>SUM(Tabela1[[#This Row],[Alimentação]:[Combustível]])</f>
        <v>545</v>
      </c>
      <c r="U17" s="3">
        <f ca="1">TODAY()-Tabela1[[#This Row],[Data Admissão]]</f>
        <v>521</v>
      </c>
      <c r="V17" s="3" t="str">
        <f ca="1">VLOOKUP(Tabela1[[#This Row],[Tempo Empresa]],Auxiliar!$E$17:$G$22,3,TRUE)</f>
        <v>422-717</v>
      </c>
      <c r="W17" t="str">
        <f>VLOOKUP(Tabela1[[#This Row],[Salário]],Auxiliar!$E$9:$G$14,3,TRUE)</f>
        <v>1600-3049</v>
      </c>
      <c r="X17" t="str">
        <f ca="1">VLOOKUP(Tabela1[[#This Row],[Idade]],Auxiliar!$E$1:$G$6,3,TRUE)</f>
        <v>26-29</v>
      </c>
      <c r="Z17">
        <f>YEAR(Tabela1[[#This Row],[Data Admissão]])</f>
        <v>2022</v>
      </c>
      <c r="AA17" t="str">
        <f>IFERROR(YEAR(Tabela1[[#This Row],[Data Demissão]]),"")</f>
        <v/>
      </c>
    </row>
    <row r="18" spans="1:27" x14ac:dyDescent="0.25">
      <c r="A18" t="s">
        <v>55</v>
      </c>
      <c r="B18" t="s">
        <v>29</v>
      </c>
      <c r="C18" s="1">
        <v>32781</v>
      </c>
      <c r="D18">
        <v>32</v>
      </c>
      <c r="E18" t="s">
        <v>22</v>
      </c>
      <c r="F18" t="s">
        <v>33</v>
      </c>
      <c r="G18" t="s">
        <v>24</v>
      </c>
      <c r="H18">
        <v>17000</v>
      </c>
      <c r="I18" s="1">
        <v>44105</v>
      </c>
      <c r="J18" t="s">
        <v>25</v>
      </c>
      <c r="K18" t="s">
        <v>25</v>
      </c>
      <c r="L18" t="s">
        <v>26</v>
      </c>
      <c r="M18" t="s">
        <v>27</v>
      </c>
      <c r="N18">
        <v>900</v>
      </c>
      <c r="O18">
        <v>600</v>
      </c>
      <c r="P18">
        <v>250</v>
      </c>
      <c r="Q18">
        <v>400</v>
      </c>
      <c r="R18">
        <v>0</v>
      </c>
      <c r="S18">
        <v>250</v>
      </c>
      <c r="T18">
        <f>SUM(Tabela1[[#This Row],[Alimentação]:[Combustível]])</f>
        <v>2400</v>
      </c>
      <c r="U18" s="3">
        <f ca="1">TODAY()-Tabela1[[#This Row],[Data Admissão]]</f>
        <v>1041</v>
      </c>
      <c r="V18" s="3" t="str">
        <f ca="1">VLOOKUP(Tabela1[[#This Row],[Tempo Empresa]],Auxiliar!$E$17:$G$22,3,TRUE)</f>
        <v>718-1128</v>
      </c>
      <c r="W18" t="str">
        <f>VLOOKUP(Tabela1[[#This Row],[Salário]],Auxiliar!$E$9:$G$14,3,TRUE)</f>
        <v>&gt;17000</v>
      </c>
      <c r="X18" t="str">
        <f ca="1">VLOOKUP(Tabela1[[#This Row],[Idade]],Auxiliar!$E$1:$G$6,3,TRUE)</f>
        <v>30-33</v>
      </c>
      <c r="Y18" t="s">
        <v>25</v>
      </c>
      <c r="Z18">
        <f>YEAR(Tabela1[[#This Row],[Data Admissão]])</f>
        <v>2020</v>
      </c>
      <c r="AA18" t="str">
        <f>IFERROR(YEAR(Tabela1[[#This Row],[Data Demissão]]),"")</f>
        <v/>
      </c>
    </row>
    <row r="19" spans="1:27" x14ac:dyDescent="0.25">
      <c r="A19" t="s">
        <v>56</v>
      </c>
      <c r="B19" t="s">
        <v>21</v>
      </c>
      <c r="C19" s="1">
        <v>32916</v>
      </c>
      <c r="D19">
        <v>31</v>
      </c>
      <c r="E19" t="s">
        <v>22</v>
      </c>
      <c r="F19" t="s">
        <v>100</v>
      </c>
      <c r="G19" t="s">
        <v>99</v>
      </c>
      <c r="H19">
        <v>12100</v>
      </c>
      <c r="I19" s="1">
        <v>44602</v>
      </c>
      <c r="J19" t="s">
        <v>25</v>
      </c>
      <c r="K19" t="s">
        <v>25</v>
      </c>
      <c r="L19" t="s">
        <v>26</v>
      </c>
      <c r="M19" t="s">
        <v>27</v>
      </c>
      <c r="N19">
        <v>1200</v>
      </c>
      <c r="O19">
        <v>800</v>
      </c>
      <c r="P19">
        <v>350</v>
      </c>
      <c r="Q19">
        <v>500</v>
      </c>
      <c r="R19">
        <v>0</v>
      </c>
      <c r="S19">
        <v>300</v>
      </c>
      <c r="T19">
        <f>SUM(Tabela1[[#This Row],[Alimentação]:[Combustível]])</f>
        <v>3150</v>
      </c>
      <c r="U19" s="3">
        <f ca="1">TODAY()-Tabela1[[#This Row],[Data Admissão]]</f>
        <v>544</v>
      </c>
      <c r="V19" s="3" t="str">
        <f ca="1">VLOOKUP(Tabela1[[#This Row],[Tempo Empresa]],Auxiliar!$E$17:$G$22,3,TRUE)</f>
        <v>422-717</v>
      </c>
      <c r="W19" t="str">
        <f>VLOOKUP(Tabela1[[#This Row],[Salário]],Auxiliar!$E$9:$G$14,3,TRUE)</f>
        <v>10500-16999</v>
      </c>
      <c r="X19" t="str">
        <f ca="1">VLOOKUP(Tabela1[[#This Row],[Idade]],Auxiliar!$E$1:$G$6,3,TRUE)</f>
        <v>30-33</v>
      </c>
      <c r="Y19" t="s">
        <v>118</v>
      </c>
      <c r="Z19">
        <f>YEAR(Tabela1[[#This Row],[Data Admissão]])</f>
        <v>2022</v>
      </c>
      <c r="AA19" t="str">
        <f>IFERROR(YEAR(Tabela1[[#This Row],[Data Demissão]]),"")</f>
        <v/>
      </c>
    </row>
    <row r="20" spans="1:27" x14ac:dyDescent="0.25">
      <c r="A20" t="s">
        <v>57</v>
      </c>
      <c r="B20" t="s">
        <v>29</v>
      </c>
      <c r="C20" s="1">
        <v>35981</v>
      </c>
      <c r="D20">
        <v>25</v>
      </c>
      <c r="E20" t="s">
        <v>22</v>
      </c>
      <c r="F20" t="s">
        <v>49</v>
      </c>
      <c r="G20" t="s">
        <v>31</v>
      </c>
      <c r="H20">
        <v>1750</v>
      </c>
      <c r="I20" s="1">
        <v>44428</v>
      </c>
      <c r="J20" t="s">
        <v>25</v>
      </c>
      <c r="K20" t="s">
        <v>25</v>
      </c>
      <c r="L20" t="s">
        <v>26</v>
      </c>
      <c r="M20" t="s">
        <v>27</v>
      </c>
      <c r="N20">
        <v>500</v>
      </c>
      <c r="O20">
        <v>400</v>
      </c>
      <c r="P20">
        <v>200</v>
      </c>
      <c r="Q20">
        <v>250</v>
      </c>
      <c r="R20">
        <v>0</v>
      </c>
      <c r="S20">
        <v>200</v>
      </c>
      <c r="T20">
        <f>SUM(Tabela1[[#This Row],[Alimentação]:[Combustível]])</f>
        <v>1550</v>
      </c>
      <c r="U20" s="3">
        <f ca="1">TODAY()-Tabela1[[#This Row],[Data Admissão]]</f>
        <v>718</v>
      </c>
      <c r="V20" s="3" t="str">
        <f ca="1">VLOOKUP(Tabela1[[#This Row],[Tempo Empresa]],Auxiliar!$E$17:$G$22,3,TRUE)</f>
        <v>718-1128</v>
      </c>
      <c r="W20" t="str">
        <f>VLOOKUP(Tabela1[[#This Row],[Salário]],Auxiliar!$E$9:$G$14,3,TRUE)</f>
        <v>1600-3049</v>
      </c>
      <c r="X20" t="str">
        <f ca="1">VLOOKUP(Tabela1[[#This Row],[Idade]],Auxiliar!$E$1:$G$6,3,TRUE)</f>
        <v>22-25</v>
      </c>
      <c r="Y20" t="s">
        <v>25</v>
      </c>
      <c r="Z20">
        <f>YEAR(Tabela1[[#This Row],[Data Admissão]])</f>
        <v>2021</v>
      </c>
      <c r="AA20" t="str">
        <f>IFERROR(YEAR(Tabela1[[#This Row],[Data Demissão]]),"")</f>
        <v/>
      </c>
    </row>
    <row r="21" spans="1:27" x14ac:dyDescent="0.25">
      <c r="A21" t="s">
        <v>58</v>
      </c>
      <c r="B21" t="s">
        <v>21</v>
      </c>
      <c r="C21" s="1">
        <v>32464</v>
      </c>
      <c r="D21">
        <v>33</v>
      </c>
      <c r="E21" t="s">
        <v>22</v>
      </c>
      <c r="F21" s="2" t="s">
        <v>42</v>
      </c>
      <c r="G21" t="s">
        <v>34</v>
      </c>
      <c r="H21">
        <v>6000</v>
      </c>
      <c r="I21" s="1">
        <v>43656</v>
      </c>
      <c r="J21" s="1">
        <v>43702</v>
      </c>
      <c r="K21" t="s">
        <v>93</v>
      </c>
      <c r="L21" t="s">
        <v>26</v>
      </c>
      <c r="M21" t="s">
        <v>27</v>
      </c>
      <c r="N21">
        <v>600</v>
      </c>
      <c r="O21">
        <v>450</v>
      </c>
      <c r="P21">
        <v>150</v>
      </c>
      <c r="Q21">
        <v>300</v>
      </c>
      <c r="R21">
        <v>0</v>
      </c>
      <c r="S21">
        <v>200</v>
      </c>
      <c r="T21">
        <f>SUM(Tabela1[[#This Row],[Alimentação]:[Combustível]])</f>
        <v>1700</v>
      </c>
      <c r="U21" s="3">
        <f ca="1">TODAY()-Tabela1[[#This Row],[Data Admissão]]</f>
        <v>1490</v>
      </c>
      <c r="V21" s="3" t="str">
        <f ca="1">VLOOKUP(Tabela1[[#This Row],[Tempo Empresa]],Auxiliar!$E$17:$G$22,3,TRUE)</f>
        <v>1129-3062</v>
      </c>
      <c r="W21" t="str">
        <f>VLOOKUP(Tabela1[[#This Row],[Salário]],Auxiliar!$E$9:$G$14,3,TRUE)</f>
        <v>5000-10499</v>
      </c>
      <c r="X21" t="str">
        <f ca="1">VLOOKUP(Tabela1[[#This Row],[Idade]],Auxiliar!$E$1:$G$6,3,TRUE)</f>
        <v>30-33</v>
      </c>
      <c r="Y21" t="str">
        <f>IF(Tabela1[[#This Row],[Data Demissão]]="-","Ativo","Desligado")</f>
        <v>Desligado</v>
      </c>
      <c r="Z21">
        <f>YEAR(Tabela1[[#This Row],[Data Admissão]])</f>
        <v>2019</v>
      </c>
      <c r="AA21">
        <f>IFERROR(YEAR(Tabela1[[#This Row],[Data Demissão]]),"")</f>
        <v>2019</v>
      </c>
    </row>
    <row r="22" spans="1:27" x14ac:dyDescent="0.25">
      <c r="A22" t="s">
        <v>59</v>
      </c>
      <c r="B22" t="s">
        <v>29</v>
      </c>
      <c r="C22" s="1">
        <v>34698</v>
      </c>
      <c r="D22">
        <v>27</v>
      </c>
      <c r="E22" t="s">
        <v>22</v>
      </c>
      <c r="F22" t="s">
        <v>23</v>
      </c>
      <c r="G22" t="s">
        <v>24</v>
      </c>
      <c r="H22">
        <v>4500</v>
      </c>
      <c r="I22" s="1">
        <v>43966</v>
      </c>
      <c r="J22" t="s">
        <v>25</v>
      </c>
      <c r="K22" t="s">
        <v>25</v>
      </c>
      <c r="L22" t="s">
        <v>26</v>
      </c>
      <c r="M22" t="s">
        <v>62</v>
      </c>
      <c r="N22">
        <v>400</v>
      </c>
      <c r="O22">
        <v>300</v>
      </c>
      <c r="P22">
        <v>100</v>
      </c>
      <c r="Q22">
        <v>180</v>
      </c>
      <c r="R22">
        <v>80</v>
      </c>
      <c r="S22">
        <v>150</v>
      </c>
      <c r="T22">
        <f>SUM(Tabela1[[#This Row],[Alimentação]:[Combustível]])</f>
        <v>1210</v>
      </c>
      <c r="U22" s="3">
        <f ca="1">TODAY()-Tabela1[[#This Row],[Data Admissão]]</f>
        <v>1180</v>
      </c>
      <c r="V22" s="3" t="str">
        <f ca="1">VLOOKUP(Tabela1[[#This Row],[Tempo Empresa]],Auxiliar!$E$17:$G$22,3,TRUE)</f>
        <v>1129-3062</v>
      </c>
      <c r="W22" t="str">
        <f>VLOOKUP(Tabela1[[#This Row],[Salário]],Auxiliar!$E$9:$G$14,3,TRUE)</f>
        <v>3050-4999</v>
      </c>
      <c r="X22" t="str">
        <f ca="1">VLOOKUP(Tabela1[[#This Row],[Idade]],Auxiliar!$E$1:$G$6,3,TRUE)</f>
        <v>26-29</v>
      </c>
      <c r="Y22" t="s">
        <v>25</v>
      </c>
      <c r="Z22">
        <f>YEAR(Tabela1[[#This Row],[Data Admissão]])</f>
        <v>2020</v>
      </c>
      <c r="AA22" t="str">
        <f>IFERROR(YEAR(Tabela1[[#This Row],[Data Demissão]]),"")</f>
        <v/>
      </c>
    </row>
    <row r="23" spans="1:27" x14ac:dyDescent="0.25">
      <c r="A23" t="s">
        <v>60</v>
      </c>
      <c r="B23" t="s">
        <v>21</v>
      </c>
      <c r="C23" s="1">
        <v>31292</v>
      </c>
      <c r="D23">
        <v>36</v>
      </c>
      <c r="E23" t="s">
        <v>22</v>
      </c>
      <c r="F23" t="s">
        <v>33</v>
      </c>
      <c r="G23" t="s">
        <v>31</v>
      </c>
      <c r="H23">
        <v>15000</v>
      </c>
      <c r="I23" s="1">
        <v>42083</v>
      </c>
      <c r="J23" t="s">
        <v>25</v>
      </c>
      <c r="K23" t="s">
        <v>25</v>
      </c>
      <c r="L23" t="s">
        <v>26</v>
      </c>
      <c r="M23" t="s">
        <v>27</v>
      </c>
      <c r="N23">
        <v>800</v>
      </c>
      <c r="O23">
        <v>600</v>
      </c>
      <c r="P23">
        <v>250</v>
      </c>
      <c r="Q23">
        <v>400</v>
      </c>
      <c r="R23">
        <v>0</v>
      </c>
      <c r="S23">
        <v>250</v>
      </c>
      <c r="T23">
        <f>SUM(Tabela1[[#This Row],[Alimentação]:[Combustível]])</f>
        <v>2300</v>
      </c>
      <c r="U23" s="3">
        <f ca="1">TODAY()-Tabela1[[#This Row],[Data Admissão]]</f>
        <v>3063</v>
      </c>
      <c r="V23" s="3" t="str">
        <f ca="1">VLOOKUP(Tabela1[[#This Row],[Tempo Empresa]],Auxiliar!$E$17:$G$22,3,TRUE)</f>
        <v>&gt;3063</v>
      </c>
      <c r="W23" t="str">
        <f>VLOOKUP(Tabela1[[#This Row],[Salário]],Auxiliar!$E$9:$G$14,3,TRUE)</f>
        <v>10500-16999</v>
      </c>
      <c r="X23" t="str">
        <f ca="1">VLOOKUP(Tabela1[[#This Row],[Idade]],Auxiliar!$E$1:$G$6,3,TRUE)</f>
        <v>34-47</v>
      </c>
      <c r="Y23" t="s">
        <v>25</v>
      </c>
      <c r="Z23">
        <f>YEAR(Tabela1[[#This Row],[Data Admissão]])</f>
        <v>2015</v>
      </c>
      <c r="AA23" t="str">
        <f>IFERROR(YEAR(Tabela1[[#This Row],[Data Demissão]]),"")</f>
        <v/>
      </c>
    </row>
    <row r="24" spans="1:27" x14ac:dyDescent="0.25">
      <c r="A24" t="s">
        <v>61</v>
      </c>
      <c r="B24" t="s">
        <v>29</v>
      </c>
      <c r="C24" s="1">
        <v>35142</v>
      </c>
      <c r="D24">
        <v>27</v>
      </c>
      <c r="E24" t="s">
        <v>22</v>
      </c>
      <c r="F24" t="s">
        <v>42</v>
      </c>
      <c r="G24" t="s">
        <v>34</v>
      </c>
      <c r="H24">
        <v>6000</v>
      </c>
      <c r="I24" s="1">
        <v>42083</v>
      </c>
      <c r="J24" t="s">
        <v>25</v>
      </c>
      <c r="K24" t="s">
        <v>25</v>
      </c>
      <c r="L24" t="s">
        <v>26</v>
      </c>
      <c r="M24" t="s">
        <v>27</v>
      </c>
      <c r="N24">
        <v>500</v>
      </c>
      <c r="O24">
        <v>400</v>
      </c>
      <c r="P24">
        <v>180</v>
      </c>
      <c r="Q24">
        <v>250</v>
      </c>
      <c r="R24">
        <v>0</v>
      </c>
      <c r="S24">
        <v>200</v>
      </c>
      <c r="T24">
        <f>SUM(Tabela1[[#This Row],[Alimentação]:[Combustível]])</f>
        <v>1530</v>
      </c>
      <c r="U24" s="3">
        <f ca="1">TODAY()-Tabela1[[#This Row],[Data Admissão]]</f>
        <v>3063</v>
      </c>
      <c r="V24" s="3" t="str">
        <f ca="1">VLOOKUP(Tabela1[[#This Row],[Tempo Empresa]],Auxiliar!$E$17:$G$22,3,TRUE)</f>
        <v>&gt;3063</v>
      </c>
      <c r="W24" t="str">
        <f>VLOOKUP(Tabela1[[#This Row],[Salário]],Auxiliar!$E$9:$G$14,3,TRUE)</f>
        <v>5000-10499</v>
      </c>
      <c r="X24" t="str">
        <f ca="1">VLOOKUP(Tabela1[[#This Row],[Idade]],Auxiliar!$E$1:$G$6,3,TRUE)</f>
        <v>26-29</v>
      </c>
      <c r="Y24" t="s">
        <v>25</v>
      </c>
      <c r="Z24">
        <f>YEAR(Tabela1[[#This Row],[Data Admissão]])</f>
        <v>2015</v>
      </c>
      <c r="AA24" t="str">
        <f>IFERROR(YEAR(Tabela1[[#This Row],[Data Demissão]]),"")</f>
        <v/>
      </c>
    </row>
    <row r="25" spans="1:27" x14ac:dyDescent="0.25">
      <c r="A25" t="s">
        <v>63</v>
      </c>
      <c r="B25" t="s">
        <v>21</v>
      </c>
      <c r="C25" s="1">
        <v>34069</v>
      </c>
      <c r="D25">
        <v>28</v>
      </c>
      <c r="E25" t="s">
        <v>36</v>
      </c>
      <c r="F25" t="s">
        <v>49</v>
      </c>
      <c r="G25" t="s">
        <v>31</v>
      </c>
      <c r="H25">
        <v>1750</v>
      </c>
      <c r="I25" s="1">
        <v>44724</v>
      </c>
      <c r="J25" t="s">
        <v>25</v>
      </c>
      <c r="K25" t="s">
        <v>25</v>
      </c>
      <c r="L25" t="s">
        <v>26</v>
      </c>
      <c r="M25" t="s">
        <v>27</v>
      </c>
      <c r="N25">
        <v>300</v>
      </c>
      <c r="O25">
        <v>250</v>
      </c>
      <c r="P25">
        <v>80</v>
      </c>
      <c r="Q25">
        <v>150</v>
      </c>
      <c r="R25">
        <v>0</v>
      </c>
      <c r="S25">
        <v>100</v>
      </c>
      <c r="T25">
        <v>880</v>
      </c>
      <c r="U25" s="3">
        <f ca="1">TODAY()-Tabela1[[#This Row],[Data Admissão]]</f>
        <v>422</v>
      </c>
      <c r="V25" s="3" t="str">
        <f ca="1">VLOOKUP(Tabela1[[#This Row],[Tempo Empresa]],Auxiliar!$E$17:$G$22,3,TRUE)</f>
        <v>422-717</v>
      </c>
      <c r="W25" t="str">
        <f>VLOOKUP(Tabela1[[#This Row],[Salário]],Auxiliar!$E$9:$G$14,3,TRUE)</f>
        <v>1600-3049</v>
      </c>
      <c r="X25" t="str">
        <f ca="1">VLOOKUP(Tabela1[[#This Row],[Idade]],Auxiliar!$E$1:$G$6,3,TRUE)</f>
        <v>26-29</v>
      </c>
      <c r="Y25" t="s">
        <v>25</v>
      </c>
      <c r="Z25">
        <f>YEAR(Tabela1[[#This Row],[Data Admissão]])</f>
        <v>2022</v>
      </c>
      <c r="AA25" t="str">
        <f>IFERROR(YEAR(Tabela1[[#This Row],[Data Demissão]]),"")</f>
        <v/>
      </c>
    </row>
    <row r="26" spans="1:27" x14ac:dyDescent="0.25">
      <c r="A26" t="s">
        <v>64</v>
      </c>
      <c r="B26" t="s">
        <v>29</v>
      </c>
      <c r="C26" s="1">
        <v>33225</v>
      </c>
      <c r="D26">
        <v>31</v>
      </c>
      <c r="E26" t="s">
        <v>22</v>
      </c>
      <c r="F26" s="2" t="s">
        <v>42</v>
      </c>
      <c r="G26" t="s">
        <v>24</v>
      </c>
      <c r="H26">
        <v>8000</v>
      </c>
      <c r="I26" s="1">
        <v>44048</v>
      </c>
      <c r="J26" t="s">
        <v>25</v>
      </c>
      <c r="K26" t="s">
        <v>25</v>
      </c>
      <c r="L26" t="s">
        <v>26</v>
      </c>
      <c r="M26" t="s">
        <v>27</v>
      </c>
      <c r="N26">
        <v>600</v>
      </c>
      <c r="O26">
        <v>400</v>
      </c>
      <c r="P26">
        <v>150</v>
      </c>
      <c r="Q26">
        <v>300</v>
      </c>
      <c r="R26">
        <v>0</v>
      </c>
      <c r="S26">
        <v>200</v>
      </c>
      <c r="T26">
        <v>1650</v>
      </c>
      <c r="U26" s="3">
        <f ca="1">TODAY()-Tabela1[[#This Row],[Data Admissão]]</f>
        <v>1098</v>
      </c>
      <c r="V26" s="3" t="str">
        <f ca="1">VLOOKUP(Tabela1[[#This Row],[Tempo Empresa]],Auxiliar!$E$17:$G$22,3,TRUE)</f>
        <v>718-1128</v>
      </c>
      <c r="W26" t="str">
        <f>VLOOKUP(Tabela1[[#This Row],[Salário]],Auxiliar!$E$9:$G$14,3,TRUE)</f>
        <v>5000-10499</v>
      </c>
      <c r="X26" t="str">
        <f ca="1">VLOOKUP(Tabela1[[#This Row],[Idade]],Auxiliar!$E$1:$G$6,3,TRUE)</f>
        <v>30-33</v>
      </c>
      <c r="Y26" t="s">
        <v>102</v>
      </c>
      <c r="Z26">
        <f>YEAR(Tabela1[[#This Row],[Data Admissão]])</f>
        <v>2020</v>
      </c>
      <c r="AA26" t="str">
        <f>IFERROR(YEAR(Tabela1[[#This Row],[Data Demissão]]),"")</f>
        <v/>
      </c>
    </row>
    <row r="27" spans="1:27" x14ac:dyDescent="0.25">
      <c r="A27" t="s">
        <v>65</v>
      </c>
      <c r="B27" t="s">
        <v>21</v>
      </c>
      <c r="C27" s="1">
        <v>36063</v>
      </c>
      <c r="D27">
        <v>23</v>
      </c>
      <c r="E27" t="s">
        <v>22</v>
      </c>
      <c r="F27" t="s">
        <v>23</v>
      </c>
      <c r="G27" t="s">
        <v>34</v>
      </c>
      <c r="H27">
        <v>3200</v>
      </c>
      <c r="I27" s="1">
        <v>44985</v>
      </c>
      <c r="J27" t="s">
        <v>25</v>
      </c>
      <c r="K27" t="s">
        <v>25</v>
      </c>
      <c r="L27" t="s">
        <v>26</v>
      </c>
      <c r="M27" t="s">
        <v>27</v>
      </c>
      <c r="N27">
        <v>400</v>
      </c>
      <c r="O27">
        <v>300</v>
      </c>
      <c r="P27">
        <v>100</v>
      </c>
      <c r="Q27">
        <v>180</v>
      </c>
      <c r="R27">
        <v>0</v>
      </c>
      <c r="S27">
        <v>150</v>
      </c>
      <c r="T27">
        <v>1130</v>
      </c>
      <c r="U27" s="3">
        <f ca="1">TODAY()-Tabela1[[#This Row],[Data Admissão]]</f>
        <v>161</v>
      </c>
      <c r="V27" s="3" t="str">
        <f ca="1">VLOOKUP(Tabela1[[#This Row],[Tempo Empresa]],Auxiliar!$E$17:$G$22,3,TRUE)</f>
        <v>68-421</v>
      </c>
      <c r="W27" t="str">
        <f>VLOOKUP(Tabela1[[#This Row],[Salário]],Auxiliar!$E$9:$G$14,3,TRUE)</f>
        <v>3050-4999</v>
      </c>
      <c r="X27" t="str">
        <f ca="1">VLOOKUP(Tabela1[[#This Row],[Idade]],Auxiliar!$E$1:$G$6,3,TRUE)</f>
        <v>22-25</v>
      </c>
      <c r="Y27" t="s">
        <v>25</v>
      </c>
      <c r="Z27">
        <f>YEAR(Tabela1[[#This Row],[Data Admissão]])</f>
        <v>2023</v>
      </c>
      <c r="AA27" t="str">
        <f>IFERROR(YEAR(Tabela1[[#This Row],[Data Demissão]]),"")</f>
        <v/>
      </c>
    </row>
    <row r="28" spans="1:27" x14ac:dyDescent="0.25">
      <c r="A28" t="s">
        <v>66</v>
      </c>
      <c r="B28" t="s">
        <v>29</v>
      </c>
      <c r="C28" s="1">
        <v>35266</v>
      </c>
      <c r="D28">
        <v>25</v>
      </c>
      <c r="E28" t="s">
        <v>36</v>
      </c>
      <c r="F28" t="s">
        <v>37</v>
      </c>
      <c r="G28" t="s">
        <v>24</v>
      </c>
      <c r="H28">
        <v>1800</v>
      </c>
      <c r="I28" s="1">
        <v>44686</v>
      </c>
      <c r="J28" s="1">
        <v>44895</v>
      </c>
      <c r="K28" t="s">
        <v>38</v>
      </c>
      <c r="L28" t="s">
        <v>39</v>
      </c>
      <c r="M28" t="s">
        <v>27</v>
      </c>
      <c r="N28">
        <v>200</v>
      </c>
      <c r="O28">
        <v>150</v>
      </c>
      <c r="P28">
        <v>50</v>
      </c>
      <c r="Q28">
        <v>100</v>
      </c>
      <c r="R28">
        <v>0</v>
      </c>
      <c r="S28">
        <v>75</v>
      </c>
      <c r="T28">
        <v>575</v>
      </c>
      <c r="U28" s="3">
        <f ca="1">TODAY()-Tabela1[[#This Row],[Data Admissão]]</f>
        <v>460</v>
      </c>
      <c r="V28" s="3" t="str">
        <f ca="1">VLOOKUP(Tabela1[[#This Row],[Tempo Empresa]],Auxiliar!$E$17:$G$22,3,TRUE)</f>
        <v>422-717</v>
      </c>
      <c r="W28" t="str">
        <f>VLOOKUP(Tabela1[[#This Row],[Salário]],Auxiliar!$E$9:$G$14,3,TRUE)</f>
        <v>1600-3049</v>
      </c>
      <c r="X28" t="str">
        <f ca="1">VLOOKUP(Tabela1[[#This Row],[Idade]],Auxiliar!$E$1:$G$6,3,TRUE)</f>
        <v>22-25</v>
      </c>
      <c r="Z28">
        <f>YEAR(Tabela1[[#This Row],[Data Admissão]])</f>
        <v>2022</v>
      </c>
      <c r="AA28">
        <f>IFERROR(YEAR(Tabela1[[#This Row],[Data Demissão]]),"")</f>
        <v>2022</v>
      </c>
    </row>
    <row r="29" spans="1:27" x14ac:dyDescent="0.25">
      <c r="A29" t="s">
        <v>67</v>
      </c>
      <c r="B29" t="s">
        <v>21</v>
      </c>
      <c r="C29" s="1">
        <v>32516</v>
      </c>
      <c r="D29">
        <v>32</v>
      </c>
      <c r="E29" t="s">
        <v>22</v>
      </c>
      <c r="F29" t="s">
        <v>42</v>
      </c>
      <c r="G29" t="s">
        <v>31</v>
      </c>
      <c r="H29">
        <v>6500</v>
      </c>
      <c r="I29" s="1">
        <v>44454</v>
      </c>
      <c r="J29" t="s">
        <v>25</v>
      </c>
      <c r="K29" t="s">
        <v>25</v>
      </c>
      <c r="L29" t="s">
        <v>26</v>
      </c>
      <c r="M29" t="s">
        <v>27</v>
      </c>
      <c r="N29">
        <v>500</v>
      </c>
      <c r="O29">
        <v>400</v>
      </c>
      <c r="P29">
        <v>200</v>
      </c>
      <c r="Q29">
        <v>250</v>
      </c>
      <c r="R29">
        <v>0</v>
      </c>
      <c r="S29">
        <v>200</v>
      </c>
      <c r="T29">
        <v>1350</v>
      </c>
      <c r="U29" s="3">
        <f ca="1">TODAY()-Tabela1[[#This Row],[Data Admissão]]</f>
        <v>692</v>
      </c>
      <c r="V29" s="3" t="str">
        <f ca="1">VLOOKUP(Tabela1[[#This Row],[Tempo Empresa]],Auxiliar!$E$17:$G$22,3,TRUE)</f>
        <v>422-717</v>
      </c>
      <c r="W29" t="str">
        <f>VLOOKUP(Tabela1[[#This Row],[Salário]],Auxiliar!$E$9:$G$14,3,TRUE)</f>
        <v>5000-10499</v>
      </c>
      <c r="X29" t="str">
        <f ca="1">VLOOKUP(Tabela1[[#This Row],[Idade]],Auxiliar!$E$1:$G$6,3,TRUE)</f>
        <v>30-33</v>
      </c>
      <c r="Y29" t="s">
        <v>118</v>
      </c>
      <c r="Z29">
        <f>YEAR(Tabela1[[#This Row],[Data Admissão]])</f>
        <v>2021</v>
      </c>
      <c r="AA29" t="str">
        <f>IFERROR(YEAR(Tabela1[[#This Row],[Data Demissão]]),"")</f>
        <v/>
      </c>
    </row>
    <row r="30" spans="1:27" x14ac:dyDescent="0.25">
      <c r="A30" t="s">
        <v>68</v>
      </c>
      <c r="B30" t="s">
        <v>29</v>
      </c>
      <c r="C30" s="1">
        <v>35586</v>
      </c>
      <c r="D30">
        <v>24</v>
      </c>
      <c r="E30" t="s">
        <v>22</v>
      </c>
      <c r="F30" t="s">
        <v>49</v>
      </c>
      <c r="G30" t="s">
        <v>34</v>
      </c>
      <c r="H30">
        <v>2000</v>
      </c>
      <c r="I30" s="1">
        <v>44602</v>
      </c>
      <c r="J30" t="s">
        <v>25</v>
      </c>
      <c r="K30" t="s">
        <v>25</v>
      </c>
      <c r="L30" t="s">
        <v>26</v>
      </c>
      <c r="M30" t="s">
        <v>27</v>
      </c>
      <c r="N30">
        <v>900</v>
      </c>
      <c r="O30">
        <v>600</v>
      </c>
      <c r="P30">
        <v>250</v>
      </c>
      <c r="Q30">
        <v>400</v>
      </c>
      <c r="R30">
        <v>0</v>
      </c>
      <c r="S30">
        <v>250</v>
      </c>
      <c r="T30">
        <v>2200</v>
      </c>
      <c r="U30" s="3">
        <f ca="1">TODAY()-Tabela1[[#This Row],[Data Admissão]]</f>
        <v>544</v>
      </c>
      <c r="V30" s="3" t="str">
        <f ca="1">VLOOKUP(Tabela1[[#This Row],[Tempo Empresa]],Auxiliar!$E$17:$G$22,3,TRUE)</f>
        <v>422-717</v>
      </c>
      <c r="W30" t="str">
        <f>VLOOKUP(Tabela1[[#This Row],[Salário]],Auxiliar!$E$9:$G$14,3,TRUE)</f>
        <v>1600-3049</v>
      </c>
      <c r="X30" t="str">
        <f ca="1">VLOOKUP(Tabela1[[#This Row],[Idade]],Auxiliar!$E$1:$G$6,3,TRUE)</f>
        <v>22-25</v>
      </c>
      <c r="Y30" t="s">
        <v>25</v>
      </c>
      <c r="Z30">
        <f>YEAR(Tabela1[[#This Row],[Data Admissão]])</f>
        <v>2022</v>
      </c>
      <c r="AA30" t="str">
        <f>IFERROR(YEAR(Tabela1[[#This Row],[Data Demissão]]),"")</f>
        <v/>
      </c>
    </row>
    <row r="31" spans="1:27" x14ac:dyDescent="0.25">
      <c r="A31" t="s">
        <v>69</v>
      </c>
      <c r="B31" t="s">
        <v>21</v>
      </c>
      <c r="C31" s="1">
        <v>31838</v>
      </c>
      <c r="D31">
        <v>34</v>
      </c>
      <c r="E31" t="s">
        <v>22</v>
      </c>
      <c r="F31" t="s">
        <v>23</v>
      </c>
      <c r="G31" t="s">
        <v>34</v>
      </c>
      <c r="H31">
        <v>3200</v>
      </c>
      <c r="I31" s="1">
        <v>43383</v>
      </c>
      <c r="J31" t="s">
        <v>25</v>
      </c>
      <c r="K31" t="s">
        <v>25</v>
      </c>
      <c r="L31" t="s">
        <v>26</v>
      </c>
      <c r="M31" t="s">
        <v>27</v>
      </c>
      <c r="N31">
        <v>1200</v>
      </c>
      <c r="O31">
        <v>800</v>
      </c>
      <c r="P31">
        <v>350</v>
      </c>
      <c r="Q31">
        <v>500</v>
      </c>
      <c r="R31">
        <v>0</v>
      </c>
      <c r="S31">
        <v>300</v>
      </c>
      <c r="T31">
        <v>2950</v>
      </c>
      <c r="U31" s="3">
        <f ca="1">TODAY()-Tabela1[[#This Row],[Data Admissão]]</f>
        <v>1763</v>
      </c>
      <c r="V31" s="3" t="str">
        <f ca="1">VLOOKUP(Tabela1[[#This Row],[Tempo Empresa]],Auxiliar!$E$17:$G$22,3,TRUE)</f>
        <v>1129-3062</v>
      </c>
      <c r="W31" t="str">
        <f>VLOOKUP(Tabela1[[#This Row],[Salário]],Auxiliar!$E$9:$G$14,3,TRUE)</f>
        <v>3050-4999</v>
      </c>
      <c r="X31" t="str">
        <f ca="1">VLOOKUP(Tabela1[[#This Row],[Idade]],Auxiliar!$E$1:$G$6,3,TRUE)</f>
        <v>34-47</v>
      </c>
      <c r="Y31" t="s">
        <v>102</v>
      </c>
      <c r="Z31">
        <f>YEAR(Tabela1[[#This Row],[Data Admissão]])</f>
        <v>2018</v>
      </c>
      <c r="AA31" t="str">
        <f>IFERROR(YEAR(Tabela1[[#This Row],[Data Demissão]]),"")</f>
        <v/>
      </c>
    </row>
    <row r="32" spans="1:27" x14ac:dyDescent="0.25">
      <c r="A32" t="s">
        <v>70</v>
      </c>
      <c r="B32" t="s">
        <v>29</v>
      </c>
      <c r="C32" s="1">
        <v>34990</v>
      </c>
      <c r="D32">
        <v>26</v>
      </c>
      <c r="E32" t="s">
        <v>22</v>
      </c>
      <c r="F32" t="s">
        <v>23</v>
      </c>
      <c r="G32" t="s">
        <v>24</v>
      </c>
      <c r="H32">
        <v>4500</v>
      </c>
      <c r="I32" s="1">
        <v>45078</v>
      </c>
      <c r="J32" t="s">
        <v>25</v>
      </c>
      <c r="K32" t="s">
        <v>25</v>
      </c>
      <c r="L32" t="s">
        <v>26</v>
      </c>
      <c r="M32" t="s">
        <v>27</v>
      </c>
      <c r="N32">
        <v>400</v>
      </c>
      <c r="O32">
        <v>300</v>
      </c>
      <c r="P32">
        <v>100</v>
      </c>
      <c r="Q32">
        <v>180</v>
      </c>
      <c r="R32">
        <v>0</v>
      </c>
      <c r="S32">
        <v>120</v>
      </c>
      <c r="T32">
        <v>1100</v>
      </c>
      <c r="U32" s="3">
        <f ca="1">TODAY()-Tabela1[[#This Row],[Data Admissão]]</f>
        <v>68</v>
      </c>
      <c r="V32" s="3" t="str">
        <f ca="1">VLOOKUP(Tabela1[[#This Row],[Tempo Empresa]],Auxiliar!$E$17:$G$22,3,TRUE)</f>
        <v>68-421</v>
      </c>
      <c r="W32" t="str">
        <f>VLOOKUP(Tabela1[[#This Row],[Salário]],Auxiliar!$E$9:$G$14,3,TRUE)</f>
        <v>3050-4999</v>
      </c>
      <c r="X32" t="str">
        <f ca="1">VLOOKUP(Tabela1[[#This Row],[Idade]],Auxiliar!$E$1:$G$6,3,TRUE)</f>
        <v>26-29</v>
      </c>
      <c r="Y32" t="s">
        <v>25</v>
      </c>
      <c r="Z32">
        <f>YEAR(Tabela1[[#This Row],[Data Admissão]])</f>
        <v>2023</v>
      </c>
      <c r="AA32" t="str">
        <f>IFERROR(YEAR(Tabela1[[#This Row],[Data Demissão]]),"")</f>
        <v/>
      </c>
    </row>
    <row r="33" spans="1:27" x14ac:dyDescent="0.25">
      <c r="A33" t="s">
        <v>71</v>
      </c>
      <c r="B33" t="s">
        <v>21</v>
      </c>
      <c r="C33" s="1">
        <v>33938</v>
      </c>
      <c r="D33">
        <v>29</v>
      </c>
      <c r="E33" t="s">
        <v>22</v>
      </c>
      <c r="F33" s="2" t="s">
        <v>42</v>
      </c>
      <c r="G33" t="s">
        <v>31</v>
      </c>
      <c r="H33">
        <v>6500</v>
      </c>
      <c r="I33" s="1">
        <v>44788</v>
      </c>
      <c r="J33" t="s">
        <v>25</v>
      </c>
      <c r="K33" t="s">
        <v>25</v>
      </c>
      <c r="L33" t="s">
        <v>26</v>
      </c>
      <c r="M33" t="s">
        <v>27</v>
      </c>
      <c r="N33">
        <v>600</v>
      </c>
      <c r="O33">
        <v>450</v>
      </c>
      <c r="P33">
        <v>150</v>
      </c>
      <c r="Q33">
        <v>300</v>
      </c>
      <c r="R33">
        <v>0</v>
      </c>
      <c r="S33">
        <v>200</v>
      </c>
      <c r="T33">
        <v>1700</v>
      </c>
      <c r="U33" s="3">
        <f ca="1">TODAY()-Tabela1[[#This Row],[Data Admissão]]</f>
        <v>358</v>
      </c>
      <c r="V33" s="3" t="str">
        <f ca="1">VLOOKUP(Tabela1[[#This Row],[Tempo Empresa]],Auxiliar!$E$17:$G$22,3,TRUE)</f>
        <v>68-421</v>
      </c>
      <c r="W33" t="str">
        <f>VLOOKUP(Tabela1[[#This Row],[Salário]],Auxiliar!$E$9:$G$14,3,TRUE)</f>
        <v>5000-10499</v>
      </c>
      <c r="X33" t="str">
        <f ca="1">VLOOKUP(Tabela1[[#This Row],[Idade]],Auxiliar!$E$1:$G$6,3,TRUE)</f>
        <v>26-29</v>
      </c>
      <c r="Y33" t="s">
        <v>25</v>
      </c>
      <c r="Z33">
        <f>YEAR(Tabela1[[#This Row],[Data Admissão]])</f>
        <v>2022</v>
      </c>
      <c r="AA33" t="str">
        <f>IFERROR(YEAR(Tabela1[[#This Row],[Data Demissão]]),"")</f>
        <v/>
      </c>
    </row>
    <row r="34" spans="1:27" x14ac:dyDescent="0.25">
      <c r="A34" t="s">
        <v>72</v>
      </c>
      <c r="B34" t="s">
        <v>29</v>
      </c>
      <c r="C34" s="1">
        <v>36501</v>
      </c>
      <c r="D34">
        <v>22</v>
      </c>
      <c r="E34" t="s">
        <v>22</v>
      </c>
      <c r="F34" t="s">
        <v>37</v>
      </c>
      <c r="G34" t="s">
        <v>34</v>
      </c>
      <c r="H34">
        <v>1600</v>
      </c>
      <c r="I34" s="1">
        <v>45078</v>
      </c>
      <c r="J34" s="1">
        <v>44469</v>
      </c>
      <c r="K34" t="s">
        <v>38</v>
      </c>
      <c r="L34" t="s">
        <v>39</v>
      </c>
      <c r="M34" t="s">
        <v>27</v>
      </c>
      <c r="N34">
        <v>180</v>
      </c>
      <c r="O34">
        <v>100</v>
      </c>
      <c r="P34">
        <v>30</v>
      </c>
      <c r="Q34">
        <v>80</v>
      </c>
      <c r="R34">
        <v>0</v>
      </c>
      <c r="S34">
        <v>50</v>
      </c>
      <c r="T34">
        <v>440</v>
      </c>
      <c r="U34" s="3">
        <f ca="1">TODAY()-Tabela1[[#This Row],[Data Admissão]]</f>
        <v>68</v>
      </c>
      <c r="V34" s="3" t="str">
        <f ca="1">VLOOKUP(Tabela1[[#This Row],[Tempo Empresa]],Auxiliar!$E$17:$G$22,3,TRUE)</f>
        <v>68-421</v>
      </c>
      <c r="W34" t="str">
        <f>VLOOKUP(Tabela1[[#This Row],[Salário]],Auxiliar!$E$9:$G$14,3,TRUE)</f>
        <v>1600-3049</v>
      </c>
      <c r="X34" t="str">
        <f ca="1">VLOOKUP(Tabela1[[#This Row],[Idade]],Auxiliar!$E$1:$G$6,3,TRUE)</f>
        <v>22-25</v>
      </c>
      <c r="Y34" t="str">
        <f>IF(Tabela1[[#This Row],[Data Demissão]]="-","Ativo","Desligado")</f>
        <v>Desligado</v>
      </c>
      <c r="Z34">
        <f>YEAR(Tabela1[[#This Row],[Data Admissão]])</f>
        <v>2023</v>
      </c>
      <c r="AA34">
        <f>IFERROR(YEAR(Tabela1[[#This Row],[Data Demissão]]),"")</f>
        <v>2021</v>
      </c>
    </row>
    <row r="35" spans="1:27" x14ac:dyDescent="0.25">
      <c r="A35" t="s">
        <v>73</v>
      </c>
      <c r="B35" t="s">
        <v>21</v>
      </c>
      <c r="C35" s="1">
        <v>32377</v>
      </c>
      <c r="D35">
        <v>33</v>
      </c>
      <c r="E35" t="s">
        <v>22</v>
      </c>
      <c r="F35" t="s">
        <v>42</v>
      </c>
      <c r="G35" t="s">
        <v>24</v>
      </c>
      <c r="H35">
        <v>8000</v>
      </c>
      <c r="I35" s="1">
        <v>44084</v>
      </c>
      <c r="J35" t="s">
        <v>25</v>
      </c>
      <c r="K35" t="s">
        <v>25</v>
      </c>
      <c r="L35" t="s">
        <v>26</v>
      </c>
      <c r="M35" t="s">
        <v>27</v>
      </c>
      <c r="N35">
        <v>900</v>
      </c>
      <c r="O35">
        <v>600</v>
      </c>
      <c r="P35">
        <v>250</v>
      </c>
      <c r="Q35">
        <v>400</v>
      </c>
      <c r="R35">
        <v>0</v>
      </c>
      <c r="S35">
        <v>250</v>
      </c>
      <c r="T35">
        <v>2200</v>
      </c>
      <c r="U35" s="3">
        <f ca="1">TODAY()-Tabela1[[#This Row],[Data Admissão]]</f>
        <v>1062</v>
      </c>
      <c r="V35" s="3" t="str">
        <f ca="1">VLOOKUP(Tabela1[[#This Row],[Tempo Empresa]],Auxiliar!$E$17:$G$22,3,TRUE)</f>
        <v>718-1128</v>
      </c>
      <c r="W35" t="str">
        <f>VLOOKUP(Tabela1[[#This Row],[Salário]],Auxiliar!$E$9:$G$14,3,TRUE)</f>
        <v>5000-10499</v>
      </c>
      <c r="X35" t="str">
        <f ca="1">VLOOKUP(Tabela1[[#This Row],[Idade]],Auxiliar!$E$1:$G$6,3,TRUE)</f>
        <v>30-33</v>
      </c>
      <c r="Y35" t="s">
        <v>25</v>
      </c>
      <c r="Z35">
        <f>YEAR(Tabela1[[#This Row],[Data Admissão]])</f>
        <v>2020</v>
      </c>
      <c r="AA35" t="str">
        <f>IFERROR(YEAR(Tabela1[[#This Row],[Data Demissão]]),"")</f>
        <v/>
      </c>
    </row>
    <row r="36" spans="1:27" x14ac:dyDescent="0.25">
      <c r="A36" t="s">
        <v>74</v>
      </c>
      <c r="B36" t="s">
        <v>29</v>
      </c>
      <c r="C36" s="1">
        <v>35215</v>
      </c>
      <c r="D36">
        <v>25</v>
      </c>
      <c r="E36" t="s">
        <v>22</v>
      </c>
      <c r="F36" t="s">
        <v>49</v>
      </c>
      <c r="G36" t="s">
        <v>31</v>
      </c>
      <c r="H36">
        <v>1750</v>
      </c>
      <c r="I36" s="1">
        <v>44586</v>
      </c>
      <c r="J36" t="s">
        <v>25</v>
      </c>
      <c r="K36" t="s">
        <v>25</v>
      </c>
      <c r="L36" t="s">
        <v>26</v>
      </c>
      <c r="M36" t="s">
        <v>27</v>
      </c>
      <c r="N36">
        <v>500</v>
      </c>
      <c r="O36">
        <v>400</v>
      </c>
      <c r="P36">
        <v>180</v>
      </c>
      <c r="Q36">
        <v>250</v>
      </c>
      <c r="R36">
        <v>0</v>
      </c>
      <c r="S36">
        <v>200</v>
      </c>
      <c r="T36">
        <v>1430</v>
      </c>
      <c r="U36" s="3">
        <f ca="1">TODAY()-Tabela1[[#This Row],[Data Admissão]]</f>
        <v>560</v>
      </c>
      <c r="V36" s="3" t="str">
        <f ca="1">VLOOKUP(Tabela1[[#This Row],[Tempo Empresa]],Auxiliar!$E$17:$G$22,3,TRUE)</f>
        <v>422-717</v>
      </c>
      <c r="W36" t="str">
        <f>VLOOKUP(Tabela1[[#This Row],[Salário]],Auxiliar!$E$9:$G$14,3,TRUE)</f>
        <v>1600-3049</v>
      </c>
      <c r="X36" t="str">
        <f ca="1">VLOOKUP(Tabela1[[#This Row],[Idade]],Auxiliar!$E$1:$G$6,3,TRUE)</f>
        <v>22-25</v>
      </c>
      <c r="Y36" t="s">
        <v>25</v>
      </c>
      <c r="Z36">
        <f>YEAR(Tabela1[[#This Row],[Data Admissão]])</f>
        <v>2022</v>
      </c>
      <c r="AA36" t="str">
        <f>IFERROR(YEAR(Tabela1[[#This Row],[Data Demissão]]),"")</f>
        <v/>
      </c>
    </row>
    <row r="37" spans="1:27" x14ac:dyDescent="0.25">
      <c r="A37" t="s">
        <v>75</v>
      </c>
      <c r="B37" t="s">
        <v>21</v>
      </c>
      <c r="C37" s="1">
        <v>33284</v>
      </c>
      <c r="D37">
        <v>30</v>
      </c>
      <c r="E37" t="s">
        <v>22</v>
      </c>
      <c r="F37" t="s">
        <v>23</v>
      </c>
      <c r="G37" t="s">
        <v>34</v>
      </c>
      <c r="H37">
        <v>3200</v>
      </c>
      <c r="I37" s="1">
        <v>44136</v>
      </c>
      <c r="J37" t="s">
        <v>25</v>
      </c>
      <c r="K37" t="s">
        <v>25</v>
      </c>
      <c r="L37" t="s">
        <v>26</v>
      </c>
      <c r="M37" t="s">
        <v>27</v>
      </c>
      <c r="N37">
        <v>400</v>
      </c>
      <c r="O37">
        <v>300</v>
      </c>
      <c r="P37">
        <v>100</v>
      </c>
      <c r="Q37">
        <v>200</v>
      </c>
      <c r="R37">
        <v>0</v>
      </c>
      <c r="S37">
        <v>150</v>
      </c>
      <c r="T37">
        <v>1150</v>
      </c>
      <c r="U37" s="3">
        <f ca="1">TODAY()-Tabela1[[#This Row],[Data Admissão]]</f>
        <v>1010</v>
      </c>
      <c r="V37" s="3" t="str">
        <f ca="1">VLOOKUP(Tabela1[[#This Row],[Tempo Empresa]],Auxiliar!$E$17:$G$22,3,TRUE)</f>
        <v>718-1128</v>
      </c>
      <c r="W37" t="str">
        <f>VLOOKUP(Tabela1[[#This Row],[Salário]],Auxiliar!$E$9:$G$14,3,TRUE)</f>
        <v>3050-4999</v>
      </c>
      <c r="X37" t="str">
        <f ca="1">VLOOKUP(Tabela1[[#This Row],[Idade]],Auxiliar!$E$1:$G$6,3,TRUE)</f>
        <v>30-33</v>
      </c>
      <c r="Y37" t="s">
        <v>118</v>
      </c>
      <c r="Z37">
        <f>YEAR(Tabela1[[#This Row],[Data Admissão]])</f>
        <v>2020</v>
      </c>
      <c r="AA37" t="str">
        <f>IFERROR(YEAR(Tabela1[[#This Row],[Data Demissão]]),"")</f>
        <v/>
      </c>
    </row>
    <row r="38" spans="1:27" x14ac:dyDescent="0.25">
      <c r="A38" t="s">
        <v>76</v>
      </c>
      <c r="B38" t="s">
        <v>29</v>
      </c>
      <c r="C38" s="1">
        <v>34587</v>
      </c>
      <c r="D38">
        <v>27</v>
      </c>
      <c r="E38" t="s">
        <v>22</v>
      </c>
      <c r="F38" t="s">
        <v>49</v>
      </c>
      <c r="G38" t="s">
        <v>24</v>
      </c>
      <c r="H38">
        <v>3100</v>
      </c>
      <c r="I38" s="1">
        <v>44941</v>
      </c>
      <c r="J38" t="s">
        <v>25</v>
      </c>
      <c r="K38" t="s">
        <v>25</v>
      </c>
      <c r="L38" t="s">
        <v>26</v>
      </c>
      <c r="M38" t="s">
        <v>27</v>
      </c>
      <c r="N38">
        <v>600</v>
      </c>
      <c r="O38">
        <v>400</v>
      </c>
      <c r="P38">
        <v>150</v>
      </c>
      <c r="Q38">
        <v>300</v>
      </c>
      <c r="R38">
        <v>0</v>
      </c>
      <c r="S38">
        <v>200</v>
      </c>
      <c r="T38">
        <v>1650</v>
      </c>
      <c r="U38" s="3">
        <f ca="1">TODAY()-Tabela1[[#This Row],[Data Admissão]]</f>
        <v>205</v>
      </c>
      <c r="V38" s="3" t="str">
        <f ca="1">VLOOKUP(Tabela1[[#This Row],[Tempo Empresa]],Auxiliar!$E$17:$G$22,3,TRUE)</f>
        <v>68-421</v>
      </c>
      <c r="W38" t="str">
        <f>VLOOKUP(Tabela1[[#This Row],[Salário]],Auxiliar!$E$9:$G$14,3,TRUE)</f>
        <v>3050-4999</v>
      </c>
      <c r="X38" t="str">
        <f ca="1">VLOOKUP(Tabela1[[#This Row],[Idade]],Auxiliar!$E$1:$G$6,3,TRUE)</f>
        <v>26-29</v>
      </c>
      <c r="Y38" t="s">
        <v>25</v>
      </c>
      <c r="Z38">
        <f>YEAR(Tabela1[[#This Row],[Data Admissão]])</f>
        <v>2023</v>
      </c>
      <c r="AA38" t="str">
        <f>IFERROR(YEAR(Tabela1[[#This Row],[Data Demissão]]),"")</f>
        <v/>
      </c>
    </row>
    <row r="39" spans="1:27" x14ac:dyDescent="0.25">
      <c r="A39" t="s">
        <v>77</v>
      </c>
      <c r="B39" t="s">
        <v>21</v>
      </c>
      <c r="C39" s="1">
        <v>35589</v>
      </c>
      <c r="D39">
        <v>24</v>
      </c>
      <c r="E39" t="s">
        <v>22</v>
      </c>
      <c r="F39" t="s">
        <v>49</v>
      </c>
      <c r="G39" t="s">
        <v>31</v>
      </c>
      <c r="H39">
        <v>1750</v>
      </c>
      <c r="I39" s="1">
        <v>44602</v>
      </c>
      <c r="J39" s="1">
        <v>45094</v>
      </c>
      <c r="K39" t="s">
        <v>92</v>
      </c>
      <c r="L39" t="s">
        <v>26</v>
      </c>
      <c r="M39" t="s">
        <v>27</v>
      </c>
      <c r="N39">
        <v>500</v>
      </c>
      <c r="O39">
        <v>400</v>
      </c>
      <c r="P39">
        <v>200</v>
      </c>
      <c r="Q39">
        <v>250</v>
      </c>
      <c r="R39">
        <v>0</v>
      </c>
      <c r="S39">
        <v>200</v>
      </c>
      <c r="T39">
        <v>1350</v>
      </c>
      <c r="U39" s="3">
        <f ca="1">TODAY()-Tabela1[[#This Row],[Data Admissão]]</f>
        <v>544</v>
      </c>
      <c r="V39" s="3" t="str">
        <f ca="1">VLOOKUP(Tabela1[[#This Row],[Tempo Empresa]],Auxiliar!$E$17:$G$22,3,TRUE)</f>
        <v>422-717</v>
      </c>
      <c r="W39" t="str">
        <f>VLOOKUP(Tabela1[[#This Row],[Salário]],Auxiliar!$E$9:$G$14,3,TRUE)</f>
        <v>1600-3049</v>
      </c>
      <c r="X39" t="str">
        <f ca="1">VLOOKUP(Tabela1[[#This Row],[Idade]],Auxiliar!$E$1:$G$6,3,TRUE)</f>
        <v>22-25</v>
      </c>
      <c r="Y39" t="str">
        <f>IF(Tabela1[[#This Row],[Data Demissão]]="-","Ativo","Desligado")</f>
        <v>Desligado</v>
      </c>
      <c r="Z39">
        <f>YEAR(Tabela1[[#This Row],[Data Admissão]])</f>
        <v>2022</v>
      </c>
      <c r="AA39">
        <f>IFERROR(YEAR(Tabela1[[#This Row],[Data Demissão]]),"")</f>
        <v>2023</v>
      </c>
    </row>
    <row r="40" spans="1:27" x14ac:dyDescent="0.25">
      <c r="A40" t="s">
        <v>78</v>
      </c>
      <c r="B40" t="s">
        <v>29</v>
      </c>
      <c r="C40" s="1">
        <v>34053</v>
      </c>
      <c r="D40">
        <v>28</v>
      </c>
      <c r="E40" t="s">
        <v>22</v>
      </c>
      <c r="F40" t="s">
        <v>49</v>
      </c>
      <c r="G40" t="s">
        <v>34</v>
      </c>
      <c r="H40">
        <v>2000</v>
      </c>
      <c r="I40" s="1">
        <v>44017</v>
      </c>
      <c r="J40" t="s">
        <v>25</v>
      </c>
      <c r="K40" t="s">
        <v>25</v>
      </c>
      <c r="L40" t="s">
        <v>26</v>
      </c>
      <c r="M40" t="s">
        <v>27</v>
      </c>
      <c r="N40">
        <v>900</v>
      </c>
      <c r="O40">
        <v>600</v>
      </c>
      <c r="P40">
        <v>250</v>
      </c>
      <c r="Q40">
        <v>400</v>
      </c>
      <c r="R40">
        <v>0</v>
      </c>
      <c r="S40">
        <v>250</v>
      </c>
      <c r="T40">
        <v>2200</v>
      </c>
      <c r="U40" s="3">
        <f ca="1">TODAY()-Tabela1[[#This Row],[Data Admissão]]</f>
        <v>1129</v>
      </c>
      <c r="V40" s="3" t="str">
        <f ca="1">VLOOKUP(Tabela1[[#This Row],[Tempo Empresa]],Auxiliar!$E$17:$G$22,3,TRUE)</f>
        <v>1129-3062</v>
      </c>
      <c r="W40" t="str">
        <f>VLOOKUP(Tabela1[[#This Row],[Salário]],Auxiliar!$E$9:$G$14,3,TRUE)</f>
        <v>1600-3049</v>
      </c>
      <c r="X40" t="str">
        <f ca="1">VLOOKUP(Tabela1[[#This Row],[Idade]],Auxiliar!$E$1:$G$6,3,TRUE)</f>
        <v>26-29</v>
      </c>
      <c r="Y40" t="s">
        <v>25</v>
      </c>
      <c r="Z40">
        <f>YEAR(Tabela1[[#This Row],[Data Admissão]])</f>
        <v>2020</v>
      </c>
      <c r="AA40" t="str">
        <f>IFERROR(YEAR(Tabela1[[#This Row],[Data Demissão]]),"")</f>
        <v/>
      </c>
    </row>
    <row r="41" spans="1:27" x14ac:dyDescent="0.25">
      <c r="A41" t="s">
        <v>79</v>
      </c>
      <c r="B41" t="s">
        <v>29</v>
      </c>
      <c r="C41" s="1">
        <v>32860</v>
      </c>
      <c r="D41">
        <v>32</v>
      </c>
      <c r="E41" t="s">
        <v>36</v>
      </c>
      <c r="F41" t="s">
        <v>49</v>
      </c>
      <c r="G41" t="s">
        <v>24</v>
      </c>
      <c r="H41">
        <v>3100</v>
      </c>
      <c r="I41" s="1">
        <v>44084</v>
      </c>
      <c r="J41" t="s">
        <v>25</v>
      </c>
      <c r="K41" t="s">
        <v>25</v>
      </c>
      <c r="L41" t="s">
        <v>26</v>
      </c>
      <c r="M41" t="s">
        <v>27</v>
      </c>
      <c r="N41">
        <v>300</v>
      </c>
      <c r="O41">
        <v>250</v>
      </c>
      <c r="P41">
        <v>80</v>
      </c>
      <c r="Q41">
        <v>150</v>
      </c>
      <c r="R41">
        <v>0</v>
      </c>
      <c r="S41">
        <v>100</v>
      </c>
      <c r="T41">
        <v>880</v>
      </c>
      <c r="U41" s="3">
        <f ca="1">TODAY()-Tabela1[[#This Row],[Data Admissão]]</f>
        <v>1062</v>
      </c>
      <c r="V41" s="3" t="str">
        <f ca="1">VLOOKUP(Tabela1[[#This Row],[Tempo Empresa]],Auxiliar!$E$17:$G$22,3,TRUE)</f>
        <v>718-1128</v>
      </c>
      <c r="W41" t="str">
        <f>VLOOKUP(Tabela1[[#This Row],[Salário]],Auxiliar!$E$9:$G$14,3,TRUE)</f>
        <v>3050-4999</v>
      </c>
      <c r="X41" t="str">
        <f ca="1">VLOOKUP(Tabela1[[#This Row],[Idade]],Auxiliar!$E$1:$G$6,3,TRUE)</f>
        <v>30-33</v>
      </c>
      <c r="Y41" t="s">
        <v>25</v>
      </c>
      <c r="Z41">
        <f>YEAR(Tabela1[[#This Row],[Data Admissão]])</f>
        <v>2020</v>
      </c>
      <c r="AA41" t="str">
        <f>IFERROR(YEAR(Tabela1[[#This Row],[Data Demissão]]),"")</f>
        <v/>
      </c>
    </row>
    <row r="42" spans="1:27" x14ac:dyDescent="0.25">
      <c r="A42" t="s">
        <v>80</v>
      </c>
      <c r="B42" t="s">
        <v>21</v>
      </c>
      <c r="C42" s="1">
        <v>32968</v>
      </c>
      <c r="D42">
        <v>31</v>
      </c>
      <c r="E42" t="s">
        <v>22</v>
      </c>
      <c r="F42" t="s">
        <v>23</v>
      </c>
      <c r="G42" t="s">
        <v>34</v>
      </c>
      <c r="H42">
        <v>3200</v>
      </c>
      <c r="I42" s="1">
        <v>44632</v>
      </c>
      <c r="J42" t="s">
        <v>25</v>
      </c>
      <c r="K42" t="s">
        <v>25</v>
      </c>
      <c r="L42" t="s">
        <v>26</v>
      </c>
      <c r="M42" t="s">
        <v>27</v>
      </c>
      <c r="N42">
        <v>400</v>
      </c>
      <c r="O42">
        <v>300</v>
      </c>
      <c r="P42">
        <v>100</v>
      </c>
      <c r="Q42">
        <v>180</v>
      </c>
      <c r="R42">
        <v>0</v>
      </c>
      <c r="S42">
        <v>150</v>
      </c>
      <c r="T42">
        <v>1130</v>
      </c>
      <c r="U42" s="3">
        <f ca="1">TODAY()-Tabela1[[#This Row],[Data Admissão]]</f>
        <v>514</v>
      </c>
      <c r="V42" s="3" t="str">
        <f ca="1">VLOOKUP(Tabela1[[#This Row],[Tempo Empresa]],Auxiliar!$E$17:$G$22,3,TRUE)</f>
        <v>422-717</v>
      </c>
      <c r="W42" t="str">
        <f>VLOOKUP(Tabela1[[#This Row],[Salário]],Auxiliar!$E$9:$G$14,3,TRUE)</f>
        <v>3050-4999</v>
      </c>
      <c r="X42" t="str">
        <f ca="1">VLOOKUP(Tabela1[[#This Row],[Idade]],Auxiliar!$E$1:$G$6,3,TRUE)</f>
        <v>30-33</v>
      </c>
      <c r="Y42" t="s">
        <v>25</v>
      </c>
      <c r="Z42">
        <f>YEAR(Tabela1[[#This Row],[Data Admissão]])</f>
        <v>2022</v>
      </c>
      <c r="AA42" t="str">
        <f>IFERROR(YEAR(Tabela1[[#This Row],[Data Demissão]]),"")</f>
        <v/>
      </c>
    </row>
    <row r="43" spans="1:27" x14ac:dyDescent="0.25">
      <c r="A43" t="s">
        <v>81</v>
      </c>
      <c r="B43" t="s">
        <v>29</v>
      </c>
      <c r="C43" s="1">
        <v>36119</v>
      </c>
      <c r="D43">
        <v>23</v>
      </c>
      <c r="E43" t="s">
        <v>36</v>
      </c>
      <c r="F43" t="s">
        <v>37</v>
      </c>
      <c r="G43" t="s">
        <v>24</v>
      </c>
      <c r="H43">
        <v>1800</v>
      </c>
      <c r="I43" s="1">
        <v>45078</v>
      </c>
      <c r="J43" s="1">
        <v>44561</v>
      </c>
      <c r="K43" t="s">
        <v>54</v>
      </c>
      <c r="L43" t="s">
        <v>39</v>
      </c>
      <c r="M43" t="s">
        <v>27</v>
      </c>
      <c r="N43">
        <v>200</v>
      </c>
      <c r="O43">
        <v>150</v>
      </c>
      <c r="P43">
        <v>40</v>
      </c>
      <c r="Q43">
        <v>80</v>
      </c>
      <c r="R43">
        <v>0</v>
      </c>
      <c r="S43">
        <v>75</v>
      </c>
      <c r="T43">
        <v>545</v>
      </c>
      <c r="U43" s="3">
        <f ca="1">TODAY()-Tabela1[[#This Row],[Data Admissão]]</f>
        <v>68</v>
      </c>
      <c r="V43" s="3" t="str">
        <f ca="1">VLOOKUP(Tabela1[[#This Row],[Tempo Empresa]],Auxiliar!$E$17:$G$22,3,TRUE)</f>
        <v>68-421</v>
      </c>
      <c r="W43" t="str">
        <f>VLOOKUP(Tabela1[[#This Row],[Salário]],Auxiliar!$E$9:$G$14,3,TRUE)</f>
        <v>1600-3049</v>
      </c>
      <c r="X43" t="str">
        <f ca="1">VLOOKUP(Tabela1[[#This Row],[Idade]],Auxiliar!$E$1:$G$6,3,TRUE)</f>
        <v>22-25</v>
      </c>
      <c r="Y43" t="str">
        <f>IF(Tabela1[[#This Row],[Data Demissão]]="-","Ativo","Desligado")</f>
        <v>Desligado</v>
      </c>
      <c r="Z43">
        <f>YEAR(Tabela1[[#This Row],[Data Admissão]])</f>
        <v>2023</v>
      </c>
      <c r="AA43">
        <f>IFERROR(YEAR(Tabela1[[#This Row],[Data Demissão]]),"")</f>
        <v>2021</v>
      </c>
    </row>
    <row r="44" spans="1:27" x14ac:dyDescent="0.25">
      <c r="A44" t="s">
        <v>82</v>
      </c>
      <c r="B44" t="s">
        <v>21</v>
      </c>
      <c r="C44" s="1">
        <v>31258</v>
      </c>
      <c r="D44">
        <v>36</v>
      </c>
      <c r="E44" t="s">
        <v>22</v>
      </c>
      <c r="F44" t="s">
        <v>49</v>
      </c>
      <c r="G44" t="s">
        <v>31</v>
      </c>
      <c r="H44">
        <v>1750</v>
      </c>
      <c r="I44" s="1">
        <v>44017</v>
      </c>
      <c r="J44" t="s">
        <v>25</v>
      </c>
      <c r="K44" t="s">
        <v>25</v>
      </c>
      <c r="L44" t="s">
        <v>26</v>
      </c>
      <c r="M44" t="s">
        <v>27</v>
      </c>
      <c r="N44">
        <v>800</v>
      </c>
      <c r="O44">
        <v>600</v>
      </c>
      <c r="P44">
        <v>250</v>
      </c>
      <c r="Q44">
        <v>400</v>
      </c>
      <c r="R44">
        <v>0</v>
      </c>
      <c r="S44">
        <v>250</v>
      </c>
      <c r="T44">
        <v>2300</v>
      </c>
      <c r="U44" s="3">
        <f ca="1">TODAY()-Tabela1[[#This Row],[Data Admissão]]</f>
        <v>1129</v>
      </c>
      <c r="V44" s="3" t="str">
        <f ca="1">VLOOKUP(Tabela1[[#This Row],[Tempo Empresa]],Auxiliar!$E$17:$G$22,3,TRUE)</f>
        <v>1129-3062</v>
      </c>
      <c r="W44" t="str">
        <f>VLOOKUP(Tabela1[[#This Row],[Salário]],Auxiliar!$E$9:$G$14,3,TRUE)</f>
        <v>1600-3049</v>
      </c>
      <c r="X44" t="str">
        <f ca="1">VLOOKUP(Tabela1[[#This Row],[Idade]],Auxiliar!$E$1:$G$6,3,TRUE)</f>
        <v>34-47</v>
      </c>
      <c r="Y44" t="s">
        <v>102</v>
      </c>
      <c r="Z44">
        <f>YEAR(Tabela1[[#This Row],[Data Admissão]])</f>
        <v>2020</v>
      </c>
      <c r="AA44" t="str">
        <f>IFERROR(YEAR(Tabela1[[#This Row],[Data Demissão]]),"")</f>
        <v/>
      </c>
    </row>
    <row r="45" spans="1:27" x14ac:dyDescent="0.25">
      <c r="A45" t="s">
        <v>119</v>
      </c>
      <c r="B45" t="s">
        <v>21</v>
      </c>
      <c r="C45" s="1">
        <v>27546</v>
      </c>
      <c r="D45">
        <f ca="1">YEAR(TODAY())-YEAR(Tabela1[[#This Row],[Data Nascimento]])</f>
        <v>48</v>
      </c>
      <c r="E45" t="s">
        <v>22</v>
      </c>
      <c r="F45" t="s">
        <v>100</v>
      </c>
      <c r="G45" t="s">
        <v>34</v>
      </c>
      <c r="H45">
        <v>11000</v>
      </c>
      <c r="I45" s="1">
        <v>44017</v>
      </c>
      <c r="J45" t="s">
        <v>25</v>
      </c>
      <c r="K45" t="s">
        <v>25</v>
      </c>
      <c r="L45" t="s">
        <v>26</v>
      </c>
      <c r="M45" t="s">
        <v>27</v>
      </c>
      <c r="N45">
        <v>1200</v>
      </c>
      <c r="O45">
        <v>300</v>
      </c>
      <c r="P45">
        <v>100</v>
      </c>
      <c r="Q45">
        <v>200</v>
      </c>
      <c r="R45">
        <v>0</v>
      </c>
      <c r="S45">
        <v>150</v>
      </c>
      <c r="T45">
        <f>SUM(Tabela1[[#This Row],[Alimentação]:[Combustível]])</f>
        <v>1950</v>
      </c>
      <c r="U45" s="3">
        <f ca="1">TODAY()-Tabela1[[#This Row],[Data Admissão]]</f>
        <v>1129</v>
      </c>
      <c r="V45" s="3" t="str">
        <f ca="1">VLOOKUP(Tabela1[[#This Row],[Tempo Empresa]],Auxiliar!$E$17:$G$22,3,TRUE)</f>
        <v>1129-3062</v>
      </c>
      <c r="W45" t="str">
        <f>VLOOKUP(Tabela1[[#This Row],[Salário]],Auxiliar!$E$9:$G$14,3,TRUE)</f>
        <v>10500-16999</v>
      </c>
      <c r="X45" t="str">
        <f ca="1">VLOOKUP(Tabela1[[#This Row],[Idade]],Auxiliar!$E$1:$G$6,3,TRUE)</f>
        <v>48-50</v>
      </c>
      <c r="Y45" t="str">
        <f>IF(Tabela1[[#This Row],[Data Demissão]]="-","Ativo","Desligado")</f>
        <v>Ativo</v>
      </c>
      <c r="Z45">
        <f>YEAR(Tabela1[[#This Row],[Data Admissão]])</f>
        <v>2020</v>
      </c>
      <c r="AA45" t="str">
        <f>IFERROR(YEAR(Tabela1[[#This Row],[Data Demissão]]),"")</f>
        <v/>
      </c>
    </row>
    <row r="46" spans="1:27" x14ac:dyDescent="0.25"/>
    <row r="47" spans="1:27" x14ac:dyDescent="0.25"/>
  </sheetData>
  <sheetProtection algorithmName="SHA-512" hashValue="Km61QmyB5y0XO1MxSvhmMY5gnH0FGxRoOiF6FyQ1rrWJfPQGepltEi/XFGKPS9fbJk1ZP+pQabZBqALTGmJ5zQ==" saltValue="h3bg6Zz3O3n+4Br8tPyINg==" spinCount="100000" sheet="1" objects="1" scenarios="1"/>
  <pageMargins left="0.51181102362204722" right="0.51181102362204722" top="0.78740157480314965" bottom="0.78740157480314965" header="0.31496062992125984" footer="0.31496062992125984"/>
  <pageSetup paperSize="9" scale="60" orientation="landscape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67D3E-D407-4FD7-B369-A61ECCF7D8CA}">
  <sheetPr codeName="Planilha5"/>
  <dimension ref="A1:AA39"/>
  <sheetViews>
    <sheetView workbookViewId="0">
      <selection activeCell="H18" sqref="H18:H19"/>
    </sheetView>
  </sheetViews>
  <sheetFormatPr defaultRowHeight="15" x14ac:dyDescent="0.25"/>
  <cols>
    <col min="1" max="1" width="17.42578125" bestFit="1" customWidth="1"/>
    <col min="6" max="6" width="13.7109375" customWidth="1"/>
    <col min="22" max="22" width="14.7109375" customWidth="1"/>
  </cols>
  <sheetData>
    <row r="1" spans="1:27" x14ac:dyDescent="0.25">
      <c r="A1" t="str" cm="1">
        <f t="array" aca="1" ref="A1:AA39" ca="1">_xlfn._xlws.FILTER(Tabela1[],(IF(Auxiliar!$J$2="(Tudo)",Tabela1[Ano_cont]&lt;&gt;"",Tabela1[Ano_cont]=Auxiliar!$J$2)
*(IF(Auxiliar!$J$8="(Tudo)",Tabela1[Contrato]&lt;&gt;"",Tabela1[Contrato]=Auxiliar!$J$8)
*(IF(Auxiliar!$J$5="(Tudo)",Tabela1[Área]&lt;&gt;"",Tabela1[Área]=Auxiliar!$J$5))
*(Tabela1[Status]&lt;&gt;"Desligado"))),{"Valor Inexistente"})</f>
        <v>João da Silva</v>
      </c>
      <c r="B1" t="str">
        <f ca="1"/>
        <v>Masculino</v>
      </c>
      <c r="C1">
        <f ca="1"/>
        <v>33008</v>
      </c>
      <c r="D1">
        <f ca="1"/>
        <v>33</v>
      </c>
      <c r="E1" t="str">
        <f ca="1"/>
        <v>Ensino Superior</v>
      </c>
      <c r="F1" t="str">
        <f ca="1"/>
        <v>Analista Jr</v>
      </c>
      <c r="G1" t="str">
        <f ca="1"/>
        <v>TI</v>
      </c>
      <c r="H1">
        <f ca="1"/>
        <v>4500</v>
      </c>
      <c r="I1">
        <f ca="1"/>
        <v>44602</v>
      </c>
      <c r="J1" t="str">
        <f ca="1"/>
        <v>-</v>
      </c>
      <c r="K1" t="str">
        <f ca="1"/>
        <v>-</v>
      </c>
      <c r="L1" t="str">
        <f ca="1"/>
        <v>CLT</v>
      </c>
      <c r="M1" t="str">
        <f ca="1"/>
        <v>Não</v>
      </c>
      <c r="N1">
        <f ca="1"/>
        <v>400</v>
      </c>
      <c r="O1">
        <f ca="1"/>
        <v>300</v>
      </c>
      <c r="P1">
        <f ca="1"/>
        <v>100</v>
      </c>
      <c r="Q1">
        <f ca="1"/>
        <v>200</v>
      </c>
      <c r="R1">
        <f ca="1"/>
        <v>0</v>
      </c>
      <c r="S1">
        <f ca="1"/>
        <v>150</v>
      </c>
      <c r="T1">
        <f ca="1"/>
        <v>1150</v>
      </c>
      <c r="U1">
        <f ca="1"/>
        <v>544</v>
      </c>
      <c r="V1" t="str">
        <f ca="1"/>
        <v>422-717</v>
      </c>
      <c r="W1" t="str">
        <f ca="1"/>
        <v>3050-4999</v>
      </c>
      <c r="X1" t="str">
        <f ca="1"/>
        <v>30-33</v>
      </c>
      <c r="Y1" t="str">
        <f ca="1"/>
        <v>-</v>
      </c>
      <c r="Z1">
        <f ca="1"/>
        <v>2022</v>
      </c>
      <c r="AA1" t="str">
        <f ca="1"/>
        <v/>
      </c>
    </row>
    <row r="2" spans="1:27" x14ac:dyDescent="0.25">
      <c r="A2" t="str">
        <f ca="1"/>
        <v>Maria Santos</v>
      </c>
      <c r="B2" t="str">
        <f ca="1"/>
        <v>Feminino</v>
      </c>
      <c r="C2">
        <f ca="1"/>
        <v>32469</v>
      </c>
      <c r="D2">
        <f ca="1"/>
        <v>34</v>
      </c>
      <c r="E2" t="str">
        <f ca="1"/>
        <v>Ensino Superior</v>
      </c>
      <c r="F2" t="str">
        <f ca="1"/>
        <v>Coordenador</v>
      </c>
      <c r="G2" t="str">
        <f ca="1"/>
        <v>RH</v>
      </c>
      <c r="H2">
        <f ca="1"/>
        <v>10000</v>
      </c>
      <c r="I2">
        <f ca="1"/>
        <v>44017</v>
      </c>
      <c r="J2" t="str">
        <f ca="1"/>
        <v>-</v>
      </c>
      <c r="K2" t="str">
        <f ca="1"/>
        <v>-</v>
      </c>
      <c r="L2" t="str">
        <f ca="1"/>
        <v>CLT</v>
      </c>
      <c r="M2" t="str">
        <f ca="1"/>
        <v>Sim</v>
      </c>
      <c r="N2">
        <f ca="1"/>
        <v>600</v>
      </c>
      <c r="O2">
        <f ca="1"/>
        <v>400</v>
      </c>
      <c r="P2">
        <f ca="1"/>
        <v>150</v>
      </c>
      <c r="Q2">
        <f ca="1"/>
        <v>300</v>
      </c>
      <c r="R2">
        <f ca="1"/>
        <v>80</v>
      </c>
      <c r="S2">
        <f ca="1"/>
        <v>200</v>
      </c>
      <c r="T2">
        <f ca="1"/>
        <v>1730</v>
      </c>
      <c r="U2">
        <f ca="1"/>
        <v>1129</v>
      </c>
      <c r="V2" t="str">
        <f ca="1"/>
        <v>1129-3062</v>
      </c>
      <c r="W2" t="str">
        <f ca="1"/>
        <v>5000-10499</v>
      </c>
      <c r="X2" t="str">
        <f ca="1"/>
        <v>34-47</v>
      </c>
      <c r="Y2" t="str">
        <f ca="1"/>
        <v>Licença Mat</v>
      </c>
      <c r="Z2">
        <f ca="1"/>
        <v>2020</v>
      </c>
      <c r="AA2" t="str">
        <f ca="1"/>
        <v/>
      </c>
    </row>
    <row r="3" spans="1:27" x14ac:dyDescent="0.25">
      <c r="A3" t="str">
        <f ca="1"/>
        <v>Carlos Mendes</v>
      </c>
      <c r="B3" t="str">
        <f ca="1"/>
        <v>Masculino</v>
      </c>
      <c r="C3">
        <f ca="1"/>
        <v>31116</v>
      </c>
      <c r="D3">
        <f ca="1"/>
        <v>37</v>
      </c>
      <c r="E3" t="str">
        <f ca="1"/>
        <v>Ensino Superior</v>
      </c>
      <c r="F3" t="str">
        <f ca="1"/>
        <v>Gerente</v>
      </c>
      <c r="G3" t="str">
        <f ca="1"/>
        <v>Finanças</v>
      </c>
      <c r="H3">
        <f ca="1"/>
        <v>15000</v>
      </c>
      <c r="I3">
        <f ca="1"/>
        <v>43115</v>
      </c>
      <c r="J3" t="str">
        <f ca="1"/>
        <v>-</v>
      </c>
      <c r="K3" t="str">
        <f ca="1"/>
        <v>-</v>
      </c>
      <c r="L3" t="str">
        <f ca="1"/>
        <v>CLT</v>
      </c>
      <c r="M3" t="str">
        <f ca="1"/>
        <v>Não</v>
      </c>
      <c r="N3">
        <f ca="1"/>
        <v>800</v>
      </c>
      <c r="O3">
        <f ca="1"/>
        <v>500</v>
      </c>
      <c r="P3">
        <f ca="1"/>
        <v>200</v>
      </c>
      <c r="Q3">
        <f ca="1"/>
        <v>400</v>
      </c>
      <c r="R3">
        <f ca="1"/>
        <v>0</v>
      </c>
      <c r="S3">
        <f ca="1"/>
        <v>250</v>
      </c>
      <c r="T3">
        <f ca="1"/>
        <v>2150</v>
      </c>
      <c r="U3">
        <f ca="1"/>
        <v>2031</v>
      </c>
      <c r="V3" t="str">
        <f ca="1"/>
        <v>1129-3062</v>
      </c>
      <c r="W3" t="str">
        <f ca="1"/>
        <v>10500-16999</v>
      </c>
      <c r="X3" t="str">
        <f ca="1"/>
        <v>34-47</v>
      </c>
      <c r="Y3" t="str">
        <f ca="1"/>
        <v>-</v>
      </c>
      <c r="Z3">
        <f ca="1"/>
        <v>2018</v>
      </c>
      <c r="AA3" t="str">
        <f ca="1"/>
        <v/>
      </c>
    </row>
    <row r="4" spans="1:27" x14ac:dyDescent="0.25">
      <c r="A4" t="str">
        <f ca="1"/>
        <v>Ana Lima</v>
      </c>
      <c r="B4" t="str">
        <f ca="1"/>
        <v>Feminino</v>
      </c>
      <c r="C4">
        <f ca="1"/>
        <v>36406</v>
      </c>
      <c r="D4">
        <f ca="1"/>
        <v>23</v>
      </c>
      <c r="E4" t="str">
        <f ca="1"/>
        <v>Ensino Médio</v>
      </c>
      <c r="F4" t="str">
        <f ca="1"/>
        <v>Estagiário</v>
      </c>
      <c r="G4" t="str">
        <f ca="1"/>
        <v>TI</v>
      </c>
      <c r="H4">
        <f ca="1"/>
        <v>1800</v>
      </c>
      <c r="I4">
        <f ca="1"/>
        <v>45078</v>
      </c>
      <c r="J4">
        <f ca="1"/>
        <v>45275</v>
      </c>
      <c r="K4" t="str">
        <f ca="1"/>
        <v>Término de Contrato</v>
      </c>
      <c r="L4" t="str">
        <f ca="1"/>
        <v>Estágio</v>
      </c>
      <c r="M4" t="str">
        <f ca="1"/>
        <v>Não</v>
      </c>
      <c r="N4">
        <f ca="1"/>
        <v>200</v>
      </c>
      <c r="O4">
        <f ca="1"/>
        <v>150</v>
      </c>
      <c r="P4">
        <f ca="1"/>
        <v>50</v>
      </c>
      <c r="Q4">
        <f ca="1"/>
        <v>100</v>
      </c>
      <c r="R4">
        <f ca="1"/>
        <v>0</v>
      </c>
      <c r="S4">
        <f ca="1"/>
        <v>75</v>
      </c>
      <c r="T4">
        <f ca="1"/>
        <v>575</v>
      </c>
      <c r="U4">
        <f ca="1"/>
        <v>68</v>
      </c>
      <c r="V4" t="str">
        <f ca="1"/>
        <v>68-421</v>
      </c>
      <c r="W4" t="str">
        <f ca="1"/>
        <v>1600-3049</v>
      </c>
      <c r="X4" t="str">
        <f ca="1"/>
        <v>22-25</v>
      </c>
      <c r="Y4">
        <f ca="1"/>
        <v>0</v>
      </c>
      <c r="Z4">
        <f ca="1"/>
        <v>2023</v>
      </c>
      <c r="AA4">
        <f ca="1"/>
        <v>2023</v>
      </c>
    </row>
    <row r="5" spans="1:27" x14ac:dyDescent="0.25">
      <c r="A5" t="str">
        <f ca="1"/>
        <v>Luiz Fernandes</v>
      </c>
      <c r="B5" t="str">
        <f ca="1"/>
        <v>Masculino</v>
      </c>
      <c r="C5">
        <f ca="1"/>
        <v>28699</v>
      </c>
      <c r="D5">
        <f ca="1"/>
        <v>45</v>
      </c>
      <c r="E5" t="str">
        <f ca="1"/>
        <v>Ensino Superior</v>
      </c>
      <c r="F5" t="str">
        <f ca="1"/>
        <v>Analista Jr</v>
      </c>
      <c r="G5" t="str">
        <f ca="1"/>
        <v>Finanças</v>
      </c>
      <c r="H5">
        <f ca="1"/>
        <v>3200</v>
      </c>
      <c r="I5">
        <f ca="1"/>
        <v>42083</v>
      </c>
      <c r="J5" t="str">
        <f ca="1"/>
        <v>-</v>
      </c>
      <c r="K5" t="str">
        <f ca="1"/>
        <v>-</v>
      </c>
      <c r="L5" t="str">
        <f ca="1"/>
        <v>CLT</v>
      </c>
      <c r="M5" t="str">
        <f ca="1"/>
        <v>Não</v>
      </c>
      <c r="N5">
        <f ca="1"/>
        <v>1000</v>
      </c>
      <c r="O5">
        <f ca="1"/>
        <v>800</v>
      </c>
      <c r="P5">
        <f ca="1"/>
        <v>300</v>
      </c>
      <c r="Q5">
        <f ca="1"/>
        <v>500</v>
      </c>
      <c r="R5">
        <f ca="1"/>
        <v>0</v>
      </c>
      <c r="S5">
        <f ca="1"/>
        <v>350</v>
      </c>
      <c r="T5">
        <f ca="1"/>
        <v>2950</v>
      </c>
      <c r="U5">
        <f ca="1"/>
        <v>3063</v>
      </c>
      <c r="V5" t="str">
        <f ca="1"/>
        <v>&gt;3063</v>
      </c>
      <c r="W5" t="str">
        <f ca="1"/>
        <v>3050-4999</v>
      </c>
      <c r="X5" t="str">
        <f ca="1"/>
        <v>34-47</v>
      </c>
      <c r="Y5" t="str">
        <f ca="1"/>
        <v>-</v>
      </c>
      <c r="Z5">
        <f ca="1"/>
        <v>2015</v>
      </c>
      <c r="AA5" t="str">
        <f ca="1"/>
        <v/>
      </c>
    </row>
    <row r="6" spans="1:27" x14ac:dyDescent="0.25">
      <c r="A6" t="str">
        <f ca="1"/>
        <v>Pedro Alves</v>
      </c>
      <c r="B6" t="str">
        <f ca="1"/>
        <v>Masculino</v>
      </c>
      <c r="C6">
        <f ca="1"/>
        <v>33090</v>
      </c>
      <c r="D6">
        <f ca="1"/>
        <v>32</v>
      </c>
      <c r="E6" t="str">
        <f ca="1"/>
        <v>Ensino Superior</v>
      </c>
      <c r="F6" t="str">
        <f ca="1"/>
        <v>Coordenador</v>
      </c>
      <c r="G6" t="str">
        <f ca="1"/>
        <v>Finanças</v>
      </c>
      <c r="H6">
        <f ca="1"/>
        <v>11000</v>
      </c>
      <c r="I6">
        <f ca="1"/>
        <v>44017</v>
      </c>
      <c r="J6" t="str">
        <f ca="1"/>
        <v>-</v>
      </c>
      <c r="K6" t="str">
        <f ca="1"/>
        <v>-</v>
      </c>
      <c r="L6" t="str">
        <f ca="1"/>
        <v>CLT</v>
      </c>
      <c r="M6" t="str">
        <f ca="1"/>
        <v>Não</v>
      </c>
      <c r="N6">
        <f ca="1"/>
        <v>600</v>
      </c>
      <c r="O6">
        <f ca="1"/>
        <v>450</v>
      </c>
      <c r="P6">
        <f ca="1"/>
        <v>150</v>
      </c>
      <c r="Q6">
        <f ca="1"/>
        <v>300</v>
      </c>
      <c r="R6">
        <f ca="1"/>
        <v>0</v>
      </c>
      <c r="S6">
        <f ca="1"/>
        <v>200</v>
      </c>
      <c r="T6">
        <f ca="1"/>
        <v>1700</v>
      </c>
      <c r="U6">
        <f ca="1"/>
        <v>1129</v>
      </c>
      <c r="V6" t="str">
        <f ca="1"/>
        <v>1129-3062</v>
      </c>
      <c r="W6" t="str">
        <f ca="1"/>
        <v>10500-16999</v>
      </c>
      <c r="X6" t="str">
        <f ca="1"/>
        <v>30-33</v>
      </c>
      <c r="Y6" t="str">
        <f ca="1"/>
        <v>-</v>
      </c>
      <c r="Z6">
        <f ca="1"/>
        <v>2020</v>
      </c>
      <c r="AA6" t="str">
        <f ca="1"/>
        <v/>
      </c>
    </row>
    <row r="7" spans="1:27" x14ac:dyDescent="0.25">
      <c r="A7" t="str">
        <f ca="1"/>
        <v>Sofia Oliveira</v>
      </c>
      <c r="B7" t="str">
        <f ca="1"/>
        <v>Feminino</v>
      </c>
      <c r="C7">
        <f ca="1"/>
        <v>35228</v>
      </c>
      <c r="D7">
        <f ca="1"/>
        <v>26</v>
      </c>
      <c r="E7" t="str">
        <f ca="1"/>
        <v>Ensino Superior</v>
      </c>
      <c r="F7" t="str">
        <f ca="1"/>
        <v>Analista Jr</v>
      </c>
      <c r="G7" t="str">
        <f ca="1"/>
        <v>TI</v>
      </c>
      <c r="H7">
        <f ca="1"/>
        <v>3500</v>
      </c>
      <c r="I7">
        <f ca="1"/>
        <v>44301</v>
      </c>
      <c r="J7" t="str">
        <f ca="1"/>
        <v>-</v>
      </c>
      <c r="K7" t="str">
        <f ca="1"/>
        <v>-</v>
      </c>
      <c r="L7" t="str">
        <f ca="1"/>
        <v>CLT</v>
      </c>
      <c r="M7" t="str">
        <f ca="1"/>
        <v>Não</v>
      </c>
      <c r="N7">
        <f ca="1"/>
        <v>400</v>
      </c>
      <c r="O7">
        <f ca="1"/>
        <v>350</v>
      </c>
      <c r="P7">
        <f ca="1"/>
        <v>100</v>
      </c>
      <c r="Q7">
        <f ca="1"/>
        <v>200</v>
      </c>
      <c r="R7">
        <f ca="1"/>
        <v>0</v>
      </c>
      <c r="S7">
        <f ca="1"/>
        <v>150</v>
      </c>
      <c r="T7">
        <f ca="1"/>
        <v>1200</v>
      </c>
      <c r="U7">
        <f ca="1"/>
        <v>845</v>
      </c>
      <c r="V7" t="str">
        <f ca="1"/>
        <v>718-1128</v>
      </c>
      <c r="W7" t="str">
        <f ca="1"/>
        <v>3050-4999</v>
      </c>
      <c r="X7" t="str">
        <f ca="1"/>
        <v>26-29</v>
      </c>
      <c r="Y7" t="str">
        <f ca="1"/>
        <v>-</v>
      </c>
      <c r="Z7">
        <f ca="1"/>
        <v>2021</v>
      </c>
      <c r="AA7" t="str">
        <f ca="1"/>
        <v/>
      </c>
    </row>
    <row r="8" spans="1:27" x14ac:dyDescent="0.25">
      <c r="A8" t="str">
        <f ca="1"/>
        <v>Mariana Souza</v>
      </c>
      <c r="B8" t="str">
        <f ca="1"/>
        <v>Feminino</v>
      </c>
      <c r="C8">
        <f ca="1"/>
        <v>35703</v>
      </c>
      <c r="D8">
        <f ca="1"/>
        <v>25</v>
      </c>
      <c r="E8" t="str">
        <f ca="1"/>
        <v>Ensino Superior</v>
      </c>
      <c r="F8" t="str">
        <f ca="1"/>
        <v>Assistente</v>
      </c>
      <c r="G8" t="str">
        <f ca="1"/>
        <v>Finanças</v>
      </c>
      <c r="H8">
        <f ca="1"/>
        <v>2000</v>
      </c>
      <c r="I8">
        <f ca="1"/>
        <v>44839</v>
      </c>
      <c r="J8" t="str">
        <f ca="1"/>
        <v>-</v>
      </c>
      <c r="K8" t="str">
        <f ca="1"/>
        <v>-</v>
      </c>
      <c r="L8" t="str">
        <f ca="1"/>
        <v>CLT</v>
      </c>
      <c r="M8" t="str">
        <f ca="1"/>
        <v>Sim</v>
      </c>
      <c r="N8">
        <f ca="1"/>
        <v>500</v>
      </c>
      <c r="O8">
        <f ca="1"/>
        <v>400</v>
      </c>
      <c r="P8">
        <f ca="1"/>
        <v>200</v>
      </c>
      <c r="Q8">
        <f ca="1"/>
        <v>250</v>
      </c>
      <c r="R8">
        <f ca="1"/>
        <v>0</v>
      </c>
      <c r="S8">
        <f ca="1"/>
        <v>200</v>
      </c>
      <c r="T8">
        <f ca="1"/>
        <v>1550</v>
      </c>
      <c r="U8">
        <f ca="1"/>
        <v>307</v>
      </c>
      <c r="V8" t="str">
        <f ca="1"/>
        <v>68-421</v>
      </c>
      <c r="W8" t="str">
        <f ca="1"/>
        <v>1600-3049</v>
      </c>
      <c r="X8" t="str">
        <f ca="1"/>
        <v>22-25</v>
      </c>
      <c r="Y8" t="str">
        <f ca="1"/>
        <v>Outros</v>
      </c>
      <c r="Z8">
        <f ca="1"/>
        <v>2022</v>
      </c>
      <c r="AA8" t="str">
        <f ca="1"/>
        <v/>
      </c>
    </row>
    <row r="9" spans="1:27" x14ac:dyDescent="0.25">
      <c r="A9" t="str">
        <f ca="1"/>
        <v>Pedro Almeida</v>
      </c>
      <c r="B9" t="str">
        <f ca="1"/>
        <v>Masculino</v>
      </c>
      <c r="C9">
        <f ca="1"/>
        <v>32601</v>
      </c>
      <c r="D9">
        <f ca="1"/>
        <v>32</v>
      </c>
      <c r="E9" t="str">
        <f ca="1"/>
        <v>Ensino Superior</v>
      </c>
      <c r="F9" t="str">
        <f ca="1"/>
        <v>Analista Jr</v>
      </c>
      <c r="G9" t="str">
        <f ca="1"/>
        <v>RH</v>
      </c>
      <c r="H9">
        <f ca="1"/>
        <v>3000</v>
      </c>
      <c r="I9">
        <f ca="1"/>
        <v>44395</v>
      </c>
      <c r="J9" t="str">
        <f ca="1"/>
        <v>-</v>
      </c>
      <c r="K9" t="str">
        <f ca="1"/>
        <v>-</v>
      </c>
      <c r="L9" t="str">
        <f ca="1"/>
        <v>CLT</v>
      </c>
      <c r="M9" t="str">
        <f ca="1"/>
        <v>Não</v>
      </c>
      <c r="N9">
        <f ca="1"/>
        <v>450</v>
      </c>
      <c r="O9">
        <f ca="1"/>
        <v>300</v>
      </c>
      <c r="P9">
        <f ca="1"/>
        <v>120</v>
      </c>
      <c r="Q9">
        <f ca="1"/>
        <v>180</v>
      </c>
      <c r="R9">
        <f ca="1"/>
        <v>0</v>
      </c>
      <c r="S9">
        <f ca="1"/>
        <v>120</v>
      </c>
      <c r="T9">
        <f ca="1"/>
        <v>1170</v>
      </c>
      <c r="U9">
        <f ca="1"/>
        <v>751</v>
      </c>
      <c r="V9" t="str">
        <f ca="1"/>
        <v>718-1128</v>
      </c>
      <c r="W9" t="str">
        <f ca="1"/>
        <v>1600-3049</v>
      </c>
      <c r="X9" t="str">
        <f ca="1"/>
        <v>30-33</v>
      </c>
      <c r="Y9" t="str">
        <f ca="1"/>
        <v>-</v>
      </c>
      <c r="Z9">
        <f ca="1"/>
        <v>2021</v>
      </c>
      <c r="AA9" t="str">
        <f ca="1"/>
        <v/>
      </c>
    </row>
    <row r="10" spans="1:27" x14ac:dyDescent="0.25">
      <c r="A10" t="str">
        <f ca="1"/>
        <v>Andréia Lima</v>
      </c>
      <c r="B10" t="str">
        <f ca="1"/>
        <v>Feminino</v>
      </c>
      <c r="C10">
        <f ca="1"/>
        <v>34254</v>
      </c>
      <c r="D10">
        <f ca="1"/>
        <v>28</v>
      </c>
      <c r="E10" t="str">
        <f ca="1"/>
        <v>Ensino Médio</v>
      </c>
      <c r="F10" t="str">
        <f ca="1"/>
        <v>Estagiário</v>
      </c>
      <c r="G10" t="str">
        <f ca="1"/>
        <v>Finanças</v>
      </c>
      <c r="H10">
        <f ca="1"/>
        <v>1600</v>
      </c>
      <c r="I10">
        <f ca="1"/>
        <v>44977</v>
      </c>
      <c r="J10" t="str">
        <f ca="1"/>
        <v>-</v>
      </c>
      <c r="K10" t="str">
        <f ca="1"/>
        <v>-</v>
      </c>
      <c r="L10" t="str">
        <f ca="1"/>
        <v>Estágio</v>
      </c>
      <c r="M10" t="str">
        <f ca="1"/>
        <v>Não</v>
      </c>
      <c r="N10">
        <f ca="1"/>
        <v>180</v>
      </c>
      <c r="O10">
        <f ca="1"/>
        <v>100</v>
      </c>
      <c r="P10">
        <f ca="1"/>
        <v>30</v>
      </c>
      <c r="Q10">
        <f ca="1"/>
        <v>80</v>
      </c>
      <c r="R10">
        <f ca="1"/>
        <v>0</v>
      </c>
      <c r="S10">
        <f ca="1"/>
        <v>50</v>
      </c>
      <c r="T10">
        <f ca="1"/>
        <v>440</v>
      </c>
      <c r="U10">
        <f ca="1"/>
        <v>169</v>
      </c>
      <c r="V10" t="str">
        <f ca="1"/>
        <v>68-421</v>
      </c>
      <c r="W10" t="str">
        <f ca="1"/>
        <v>1600-3049</v>
      </c>
      <c r="X10" t="str">
        <f ca="1"/>
        <v>26-29</v>
      </c>
      <c r="Y10">
        <f ca="1"/>
        <v>0</v>
      </c>
      <c r="Z10">
        <f ca="1"/>
        <v>2023</v>
      </c>
      <c r="AA10" t="str">
        <f ca="1"/>
        <v/>
      </c>
    </row>
    <row r="11" spans="1:27" x14ac:dyDescent="0.25">
      <c r="A11" t="str">
        <f ca="1"/>
        <v>Gustavo Santos</v>
      </c>
      <c r="B11" t="str">
        <f ca="1"/>
        <v>Masculino</v>
      </c>
      <c r="C11">
        <f ca="1"/>
        <v>35762</v>
      </c>
      <c r="D11">
        <f ca="1"/>
        <v>25</v>
      </c>
      <c r="E11" t="str">
        <f ca="1"/>
        <v>Ensino Médio</v>
      </c>
      <c r="F11" t="str">
        <f ca="1"/>
        <v>Assistente</v>
      </c>
      <c r="G11" t="str">
        <f ca="1"/>
        <v>TI</v>
      </c>
      <c r="H11">
        <f ca="1"/>
        <v>3100</v>
      </c>
      <c r="I11">
        <f ca="1"/>
        <v>44017</v>
      </c>
      <c r="J11" t="str">
        <f ca="1"/>
        <v>-</v>
      </c>
      <c r="K11" t="str">
        <f ca="1"/>
        <v>-</v>
      </c>
      <c r="L11" t="str">
        <f ca="1"/>
        <v>CLT</v>
      </c>
      <c r="M11" t="str">
        <f ca="1"/>
        <v>Não</v>
      </c>
      <c r="N11">
        <f ca="1"/>
        <v>300</v>
      </c>
      <c r="O11">
        <f ca="1"/>
        <v>250</v>
      </c>
      <c r="P11">
        <f ca="1"/>
        <v>80</v>
      </c>
      <c r="Q11">
        <f ca="1"/>
        <v>150</v>
      </c>
      <c r="R11">
        <f ca="1"/>
        <v>0</v>
      </c>
      <c r="S11">
        <f ca="1"/>
        <v>100</v>
      </c>
      <c r="T11">
        <f ca="1"/>
        <v>880</v>
      </c>
      <c r="U11">
        <f ca="1"/>
        <v>1129</v>
      </c>
      <c r="V11" t="str">
        <f ca="1"/>
        <v>1129-3062</v>
      </c>
      <c r="W11" t="str">
        <f ca="1"/>
        <v>3050-4999</v>
      </c>
      <c r="X11" t="str">
        <f ca="1"/>
        <v>22-25</v>
      </c>
      <c r="Y11" t="str">
        <f ca="1"/>
        <v>-</v>
      </c>
      <c r="Z11">
        <f ca="1"/>
        <v>2020</v>
      </c>
      <c r="AA11" t="str">
        <f ca="1"/>
        <v/>
      </c>
    </row>
    <row r="12" spans="1:27" x14ac:dyDescent="0.25">
      <c r="A12" t="str">
        <f ca="1"/>
        <v>Fernanda Silva</v>
      </c>
      <c r="B12" t="str">
        <f ca="1"/>
        <v>Feminino</v>
      </c>
      <c r="C12">
        <f ca="1"/>
        <v>33304</v>
      </c>
      <c r="D12">
        <f ca="1"/>
        <v>30</v>
      </c>
      <c r="E12" t="str">
        <f ca="1"/>
        <v>Ensino Superior</v>
      </c>
      <c r="F12" t="str">
        <f ca="1"/>
        <v>Assistente</v>
      </c>
      <c r="G12" t="str">
        <f ca="1"/>
        <v>Marketing</v>
      </c>
      <c r="H12">
        <f ca="1"/>
        <v>5000</v>
      </c>
      <c r="I12">
        <f ca="1"/>
        <v>45078</v>
      </c>
      <c r="J12" t="str">
        <f ca="1"/>
        <v>-</v>
      </c>
      <c r="K12" t="str">
        <f ca="1"/>
        <v>-</v>
      </c>
      <c r="L12" t="str">
        <f ca="1"/>
        <v>CLT</v>
      </c>
      <c r="M12" t="str">
        <f ca="1"/>
        <v>Não</v>
      </c>
      <c r="N12">
        <f ca="1"/>
        <v>600</v>
      </c>
      <c r="O12">
        <f ca="1"/>
        <v>400</v>
      </c>
      <c r="P12">
        <f ca="1"/>
        <v>180</v>
      </c>
      <c r="Q12">
        <f ca="1"/>
        <v>250</v>
      </c>
      <c r="R12">
        <f ca="1"/>
        <v>0</v>
      </c>
      <c r="S12">
        <f ca="1"/>
        <v>200</v>
      </c>
      <c r="T12">
        <f ca="1"/>
        <v>1630</v>
      </c>
      <c r="U12">
        <f ca="1"/>
        <v>68</v>
      </c>
      <c r="V12" t="str">
        <f ca="1"/>
        <v>68-421</v>
      </c>
      <c r="W12" t="str">
        <f ca="1"/>
        <v>5000-10499</v>
      </c>
      <c r="X12" t="str">
        <f ca="1"/>
        <v>30-33</v>
      </c>
      <c r="Y12" t="str">
        <f ca="1"/>
        <v>-</v>
      </c>
      <c r="Z12">
        <f ca="1"/>
        <v>2023</v>
      </c>
      <c r="AA12" t="str">
        <f ca="1"/>
        <v/>
      </c>
    </row>
    <row r="13" spans="1:27" x14ac:dyDescent="0.25">
      <c r="A13" t="str">
        <f ca="1"/>
        <v>Bruno Oliveira</v>
      </c>
      <c r="B13" t="str">
        <f ca="1"/>
        <v>Masculino</v>
      </c>
      <c r="C13">
        <f ca="1"/>
        <v>32007</v>
      </c>
      <c r="D13">
        <f ca="1"/>
        <v>34</v>
      </c>
      <c r="E13" t="str">
        <f ca="1"/>
        <v>Ensino Superior</v>
      </c>
      <c r="F13" t="str">
        <f ca="1"/>
        <v>Coordenador</v>
      </c>
      <c r="G13" t="str">
        <f ca="1"/>
        <v>TI</v>
      </c>
      <c r="H13">
        <f ca="1"/>
        <v>13000</v>
      </c>
      <c r="I13">
        <f ca="1"/>
        <v>43933</v>
      </c>
      <c r="J13" t="str">
        <f ca="1"/>
        <v>-</v>
      </c>
      <c r="K13" t="str">
        <f ca="1"/>
        <v>-</v>
      </c>
      <c r="L13" t="str">
        <f ca="1"/>
        <v>CLT</v>
      </c>
      <c r="M13" t="str">
        <f ca="1"/>
        <v>Não</v>
      </c>
      <c r="N13">
        <f ca="1"/>
        <v>550</v>
      </c>
      <c r="O13">
        <f ca="1"/>
        <v>350</v>
      </c>
      <c r="P13">
        <f ca="1"/>
        <v>120</v>
      </c>
      <c r="Q13">
        <f ca="1"/>
        <v>200</v>
      </c>
      <c r="R13">
        <f ca="1"/>
        <v>0</v>
      </c>
      <c r="S13">
        <f ca="1"/>
        <v>150</v>
      </c>
      <c r="T13">
        <f ca="1"/>
        <v>1370</v>
      </c>
      <c r="U13">
        <f ca="1"/>
        <v>1213</v>
      </c>
      <c r="V13" t="str">
        <f ca="1"/>
        <v>1129-3062</v>
      </c>
      <c r="W13" t="str">
        <f ca="1"/>
        <v>10500-16999</v>
      </c>
      <c r="X13" t="str">
        <f ca="1"/>
        <v>34-47</v>
      </c>
      <c r="Y13" t="str">
        <f ca="1"/>
        <v>-</v>
      </c>
      <c r="Z13">
        <f ca="1"/>
        <v>2020</v>
      </c>
      <c r="AA13" t="str">
        <f ca="1"/>
        <v/>
      </c>
    </row>
    <row r="14" spans="1:27" x14ac:dyDescent="0.25">
      <c r="A14" t="str">
        <f ca="1"/>
        <v>Juliana Santos</v>
      </c>
      <c r="B14" t="str">
        <f ca="1"/>
        <v>Feminino</v>
      </c>
      <c r="C14">
        <f ca="1"/>
        <v>34875</v>
      </c>
      <c r="D14">
        <f ca="1"/>
        <v>28</v>
      </c>
      <c r="E14" t="str">
        <f ca="1"/>
        <v>Ensino Superior</v>
      </c>
      <c r="F14" t="str">
        <f ca="1"/>
        <v>Analista Jr</v>
      </c>
      <c r="G14" t="str">
        <f ca="1"/>
        <v>RH</v>
      </c>
      <c r="H14">
        <f ca="1"/>
        <v>3000</v>
      </c>
      <c r="I14">
        <f ca="1"/>
        <v>44936</v>
      </c>
      <c r="J14" t="str">
        <f ca="1"/>
        <v>-</v>
      </c>
      <c r="K14" t="str">
        <f ca="1"/>
        <v>-</v>
      </c>
      <c r="L14" t="str">
        <f ca="1"/>
        <v>CLT</v>
      </c>
      <c r="M14" t="str">
        <f ca="1"/>
        <v>Não</v>
      </c>
      <c r="N14">
        <f ca="1"/>
        <v>400</v>
      </c>
      <c r="O14">
        <f ca="1"/>
        <v>300</v>
      </c>
      <c r="P14">
        <f ca="1"/>
        <v>100</v>
      </c>
      <c r="Q14">
        <f ca="1"/>
        <v>180</v>
      </c>
      <c r="R14">
        <f ca="1"/>
        <v>80</v>
      </c>
      <c r="S14">
        <f ca="1"/>
        <v>120</v>
      </c>
      <c r="T14">
        <f ca="1"/>
        <v>1180</v>
      </c>
      <c r="U14">
        <f ca="1"/>
        <v>210</v>
      </c>
      <c r="V14" t="str">
        <f ca="1"/>
        <v>68-421</v>
      </c>
      <c r="W14" t="str">
        <f ca="1"/>
        <v>1600-3049</v>
      </c>
      <c r="X14" t="str">
        <f ca="1"/>
        <v>26-29</v>
      </c>
      <c r="Y14" t="str">
        <f ca="1"/>
        <v>Licença Mat</v>
      </c>
      <c r="Z14">
        <f ca="1"/>
        <v>2023</v>
      </c>
      <c r="AA14" t="str">
        <f ca="1"/>
        <v/>
      </c>
    </row>
    <row r="15" spans="1:27" x14ac:dyDescent="0.25">
      <c r="A15" t="str">
        <f ca="1"/>
        <v>Roberto Almeida</v>
      </c>
      <c r="B15" t="str">
        <f ca="1"/>
        <v>Masculino</v>
      </c>
      <c r="C15">
        <f ca="1"/>
        <v>35400</v>
      </c>
      <c r="D15">
        <f ca="1"/>
        <v>27</v>
      </c>
      <c r="E15" t="str">
        <f ca="1"/>
        <v>Ensino Superior</v>
      </c>
      <c r="F15" t="str">
        <f ca="1"/>
        <v>Estagiário</v>
      </c>
      <c r="G15" t="str">
        <f ca="1"/>
        <v>Finanças</v>
      </c>
      <c r="H15">
        <f ca="1"/>
        <v>1800</v>
      </c>
      <c r="I15">
        <f ca="1"/>
        <v>44625</v>
      </c>
      <c r="J15" t="str">
        <f ca="1"/>
        <v>-</v>
      </c>
      <c r="K15" t="str">
        <f ca="1"/>
        <v>-</v>
      </c>
      <c r="L15" t="str">
        <f ca="1"/>
        <v>Estágio</v>
      </c>
      <c r="M15" t="str">
        <f ca="1"/>
        <v>Não</v>
      </c>
      <c r="N15">
        <f ca="1"/>
        <v>200</v>
      </c>
      <c r="O15">
        <f ca="1"/>
        <v>150</v>
      </c>
      <c r="P15">
        <f ca="1"/>
        <v>40</v>
      </c>
      <c r="Q15">
        <f ca="1"/>
        <v>80</v>
      </c>
      <c r="R15">
        <f ca="1"/>
        <v>0</v>
      </c>
      <c r="S15">
        <f ca="1"/>
        <v>75</v>
      </c>
      <c r="T15">
        <f ca="1"/>
        <v>545</v>
      </c>
      <c r="U15">
        <f ca="1"/>
        <v>521</v>
      </c>
      <c r="V15" t="str">
        <f ca="1"/>
        <v>422-717</v>
      </c>
      <c r="W15" t="str">
        <f ca="1"/>
        <v>1600-3049</v>
      </c>
      <c r="X15" t="str">
        <f ca="1"/>
        <v>26-29</v>
      </c>
      <c r="Y15">
        <f ca="1"/>
        <v>0</v>
      </c>
      <c r="Z15">
        <f ca="1"/>
        <v>2022</v>
      </c>
      <c r="AA15" t="str">
        <f ca="1"/>
        <v/>
      </c>
    </row>
    <row r="16" spans="1:27" x14ac:dyDescent="0.25">
      <c r="A16" t="str">
        <f ca="1"/>
        <v>Patrícia Lima</v>
      </c>
      <c r="B16" t="str">
        <f ca="1"/>
        <v>Feminino</v>
      </c>
      <c r="C16">
        <f ca="1"/>
        <v>32781</v>
      </c>
      <c r="D16">
        <f ca="1"/>
        <v>32</v>
      </c>
      <c r="E16" t="str">
        <f ca="1"/>
        <v>Ensino Superior</v>
      </c>
      <c r="F16" t="str">
        <f ca="1"/>
        <v>Gerente</v>
      </c>
      <c r="G16" t="str">
        <f ca="1"/>
        <v>TI</v>
      </c>
      <c r="H16">
        <f ca="1"/>
        <v>17000</v>
      </c>
      <c r="I16">
        <f ca="1"/>
        <v>44105</v>
      </c>
      <c r="J16" t="str">
        <f ca="1"/>
        <v>-</v>
      </c>
      <c r="K16" t="str">
        <f ca="1"/>
        <v>-</v>
      </c>
      <c r="L16" t="str">
        <f ca="1"/>
        <v>CLT</v>
      </c>
      <c r="M16" t="str">
        <f ca="1"/>
        <v>Não</v>
      </c>
      <c r="N16">
        <f ca="1"/>
        <v>900</v>
      </c>
      <c r="O16">
        <f ca="1"/>
        <v>600</v>
      </c>
      <c r="P16">
        <f ca="1"/>
        <v>250</v>
      </c>
      <c r="Q16">
        <f ca="1"/>
        <v>400</v>
      </c>
      <c r="R16">
        <f ca="1"/>
        <v>0</v>
      </c>
      <c r="S16">
        <f ca="1"/>
        <v>250</v>
      </c>
      <c r="T16">
        <f ca="1"/>
        <v>2400</v>
      </c>
      <c r="U16">
        <f ca="1"/>
        <v>1041</v>
      </c>
      <c r="V16" t="str">
        <f ca="1"/>
        <v>718-1128</v>
      </c>
      <c r="W16" t="str">
        <f ca="1"/>
        <v>&gt;17000</v>
      </c>
      <c r="X16" t="str">
        <f ca="1"/>
        <v>30-33</v>
      </c>
      <c r="Y16" t="str">
        <f ca="1"/>
        <v>-</v>
      </c>
      <c r="Z16">
        <f ca="1"/>
        <v>2020</v>
      </c>
      <c r="AA16" t="str">
        <f ca="1"/>
        <v/>
      </c>
    </row>
    <row r="17" spans="1:27" x14ac:dyDescent="0.25">
      <c r="A17" t="str">
        <f ca="1"/>
        <v>Rodrigo Santos</v>
      </c>
      <c r="B17" t="str">
        <f ca="1"/>
        <v>Masculino</v>
      </c>
      <c r="C17">
        <f ca="1"/>
        <v>32916</v>
      </c>
      <c r="D17">
        <f ca="1"/>
        <v>31</v>
      </c>
      <c r="E17" t="str">
        <f ca="1"/>
        <v>Ensino Superior</v>
      </c>
      <c r="F17" t="str">
        <f ca="1"/>
        <v>Supervisor</v>
      </c>
      <c r="G17" t="str">
        <f ca="1"/>
        <v>Marketing</v>
      </c>
      <c r="H17">
        <f ca="1"/>
        <v>12100</v>
      </c>
      <c r="I17">
        <f ca="1"/>
        <v>44602</v>
      </c>
      <c r="J17" t="str">
        <f ca="1"/>
        <v>-</v>
      </c>
      <c r="K17" t="str">
        <f ca="1"/>
        <v>-</v>
      </c>
      <c r="L17" t="str">
        <f ca="1"/>
        <v>CLT</v>
      </c>
      <c r="M17" t="str">
        <f ca="1"/>
        <v>Não</v>
      </c>
      <c r="N17">
        <f ca="1"/>
        <v>1200</v>
      </c>
      <c r="O17">
        <f ca="1"/>
        <v>800</v>
      </c>
      <c r="P17">
        <f ca="1"/>
        <v>350</v>
      </c>
      <c r="Q17">
        <f ca="1"/>
        <v>500</v>
      </c>
      <c r="R17">
        <f ca="1"/>
        <v>0</v>
      </c>
      <c r="S17">
        <f ca="1"/>
        <v>300</v>
      </c>
      <c r="T17">
        <f ca="1"/>
        <v>3150</v>
      </c>
      <c r="U17">
        <f ca="1"/>
        <v>544</v>
      </c>
      <c r="V17" t="str">
        <f ca="1"/>
        <v>422-717</v>
      </c>
      <c r="W17" t="str">
        <f ca="1"/>
        <v>10500-16999</v>
      </c>
      <c r="X17" t="str">
        <f ca="1"/>
        <v>30-33</v>
      </c>
      <c r="Y17" t="str">
        <f ca="1"/>
        <v>Outros</v>
      </c>
      <c r="Z17">
        <f ca="1"/>
        <v>2022</v>
      </c>
      <c r="AA17" t="str">
        <f ca="1"/>
        <v/>
      </c>
    </row>
    <row r="18" spans="1:27" x14ac:dyDescent="0.25">
      <c r="A18" t="str">
        <f ca="1"/>
        <v>Larissa Fernandes</v>
      </c>
      <c r="B18" t="str">
        <f ca="1"/>
        <v>Feminino</v>
      </c>
      <c r="C18">
        <f ca="1"/>
        <v>35981</v>
      </c>
      <c r="D18">
        <f ca="1"/>
        <v>25</v>
      </c>
      <c r="E18" t="str">
        <f ca="1"/>
        <v>Ensino Superior</v>
      </c>
      <c r="F18" t="str">
        <f ca="1"/>
        <v>Assistente</v>
      </c>
      <c r="G18" t="str">
        <f ca="1"/>
        <v>RH</v>
      </c>
      <c r="H18">
        <f ca="1"/>
        <v>1750</v>
      </c>
      <c r="I18">
        <f ca="1"/>
        <v>44428</v>
      </c>
      <c r="J18" t="str">
        <f ca="1"/>
        <v>-</v>
      </c>
      <c r="K18" t="str">
        <f ca="1"/>
        <v>-</v>
      </c>
      <c r="L18" t="str">
        <f ca="1"/>
        <v>CLT</v>
      </c>
      <c r="M18" t="str">
        <f ca="1"/>
        <v>Não</v>
      </c>
      <c r="N18">
        <f ca="1"/>
        <v>500</v>
      </c>
      <c r="O18">
        <f ca="1"/>
        <v>400</v>
      </c>
      <c r="P18">
        <f ca="1"/>
        <v>200</v>
      </c>
      <c r="Q18">
        <f ca="1"/>
        <v>250</v>
      </c>
      <c r="R18">
        <f ca="1"/>
        <v>0</v>
      </c>
      <c r="S18">
        <f ca="1"/>
        <v>200</v>
      </c>
      <c r="T18">
        <f ca="1"/>
        <v>1550</v>
      </c>
      <c r="U18">
        <f ca="1"/>
        <v>718</v>
      </c>
      <c r="V18" t="str">
        <f ca="1"/>
        <v>718-1128</v>
      </c>
      <c r="W18" t="str">
        <f ca="1"/>
        <v>1600-3049</v>
      </c>
      <c r="X18" t="str">
        <f ca="1"/>
        <v>22-25</v>
      </c>
      <c r="Y18" t="str">
        <f ca="1"/>
        <v>-</v>
      </c>
      <c r="Z18">
        <f ca="1"/>
        <v>2021</v>
      </c>
      <c r="AA18" t="str">
        <f ca="1"/>
        <v/>
      </c>
    </row>
    <row r="19" spans="1:27" x14ac:dyDescent="0.25">
      <c r="A19" t="str">
        <f ca="1"/>
        <v>Camila Oliveira</v>
      </c>
      <c r="B19" t="str">
        <f ca="1"/>
        <v>Feminino</v>
      </c>
      <c r="C19">
        <f ca="1"/>
        <v>34698</v>
      </c>
      <c r="D19">
        <f ca="1"/>
        <v>27</v>
      </c>
      <c r="E19" t="str">
        <f ca="1"/>
        <v>Ensino Superior</v>
      </c>
      <c r="F19" t="str">
        <f ca="1"/>
        <v>Analista Jr</v>
      </c>
      <c r="G19" t="str">
        <f ca="1"/>
        <v>TI</v>
      </c>
      <c r="H19">
        <f ca="1"/>
        <v>4500</v>
      </c>
      <c r="I19">
        <f ca="1"/>
        <v>43966</v>
      </c>
      <c r="J19" t="str">
        <f ca="1"/>
        <v>-</v>
      </c>
      <c r="K19" t="str">
        <f ca="1"/>
        <v>-</v>
      </c>
      <c r="L19" t="str">
        <f ca="1"/>
        <v>CLT</v>
      </c>
      <c r="M19" t="str">
        <f ca="1"/>
        <v>Sim</v>
      </c>
      <c r="N19">
        <f ca="1"/>
        <v>400</v>
      </c>
      <c r="O19">
        <f ca="1"/>
        <v>300</v>
      </c>
      <c r="P19">
        <f ca="1"/>
        <v>100</v>
      </c>
      <c r="Q19">
        <f ca="1"/>
        <v>180</v>
      </c>
      <c r="R19">
        <f ca="1"/>
        <v>80</v>
      </c>
      <c r="S19">
        <f ca="1"/>
        <v>150</v>
      </c>
      <c r="T19">
        <f ca="1"/>
        <v>1210</v>
      </c>
      <c r="U19">
        <f ca="1"/>
        <v>1180</v>
      </c>
      <c r="V19" t="str">
        <f ca="1"/>
        <v>1129-3062</v>
      </c>
      <c r="W19" t="str">
        <f ca="1"/>
        <v>3050-4999</v>
      </c>
      <c r="X19" t="str">
        <f ca="1"/>
        <v>26-29</v>
      </c>
      <c r="Y19" t="str">
        <f ca="1"/>
        <v>-</v>
      </c>
      <c r="Z19">
        <f ca="1"/>
        <v>2020</v>
      </c>
      <c r="AA19" t="str">
        <f ca="1"/>
        <v/>
      </c>
    </row>
    <row r="20" spans="1:27" x14ac:dyDescent="0.25">
      <c r="A20" t="str">
        <f ca="1"/>
        <v>Fábio Santos</v>
      </c>
      <c r="B20" t="str">
        <f ca="1"/>
        <v>Masculino</v>
      </c>
      <c r="C20">
        <f ca="1"/>
        <v>31292</v>
      </c>
      <c r="D20">
        <f ca="1"/>
        <v>36</v>
      </c>
      <c r="E20" t="str">
        <f ca="1"/>
        <v>Ensino Superior</v>
      </c>
      <c r="F20" t="str">
        <f ca="1"/>
        <v>Gerente</v>
      </c>
      <c r="G20" t="str">
        <f ca="1"/>
        <v>RH</v>
      </c>
      <c r="H20">
        <f ca="1"/>
        <v>15000</v>
      </c>
      <c r="I20">
        <f ca="1"/>
        <v>42083</v>
      </c>
      <c r="J20" t="str">
        <f ca="1"/>
        <v>-</v>
      </c>
      <c r="K20" t="str">
        <f ca="1"/>
        <v>-</v>
      </c>
      <c r="L20" t="str">
        <f ca="1"/>
        <v>CLT</v>
      </c>
      <c r="M20" t="str">
        <f ca="1"/>
        <v>Não</v>
      </c>
      <c r="N20">
        <f ca="1"/>
        <v>800</v>
      </c>
      <c r="O20">
        <f ca="1"/>
        <v>600</v>
      </c>
      <c r="P20">
        <f ca="1"/>
        <v>250</v>
      </c>
      <c r="Q20">
        <f ca="1"/>
        <v>400</v>
      </c>
      <c r="R20">
        <f ca="1"/>
        <v>0</v>
      </c>
      <c r="S20">
        <f ca="1"/>
        <v>250</v>
      </c>
      <c r="T20">
        <f ca="1"/>
        <v>2300</v>
      </c>
      <c r="U20">
        <f ca="1"/>
        <v>3063</v>
      </c>
      <c r="V20" t="str">
        <f ca="1"/>
        <v>&gt;3063</v>
      </c>
      <c r="W20" t="str">
        <f ca="1"/>
        <v>10500-16999</v>
      </c>
      <c r="X20" t="str">
        <f ca="1"/>
        <v>34-47</v>
      </c>
      <c r="Y20" t="str">
        <f ca="1"/>
        <v>-</v>
      </c>
      <c r="Z20">
        <f ca="1"/>
        <v>2015</v>
      </c>
      <c r="AA20" t="str">
        <f ca="1"/>
        <v/>
      </c>
    </row>
    <row r="21" spans="1:27" x14ac:dyDescent="0.25">
      <c r="A21" t="str">
        <f ca="1"/>
        <v>Luana Souza</v>
      </c>
      <c r="B21" t="str">
        <f ca="1"/>
        <v>Feminino</v>
      </c>
      <c r="C21">
        <f ca="1"/>
        <v>35142</v>
      </c>
      <c r="D21">
        <f ca="1"/>
        <v>27</v>
      </c>
      <c r="E21" t="str">
        <f ca="1"/>
        <v>Ensino Superior</v>
      </c>
      <c r="F21" t="str">
        <f ca="1"/>
        <v>Analista Sr</v>
      </c>
      <c r="G21" t="str">
        <f ca="1"/>
        <v>Finanças</v>
      </c>
      <c r="H21">
        <f ca="1"/>
        <v>6000</v>
      </c>
      <c r="I21">
        <f ca="1"/>
        <v>42083</v>
      </c>
      <c r="J21" t="str">
        <f ca="1"/>
        <v>-</v>
      </c>
      <c r="K21" t="str">
        <f ca="1"/>
        <v>-</v>
      </c>
      <c r="L21" t="str">
        <f ca="1"/>
        <v>CLT</v>
      </c>
      <c r="M21" t="str">
        <f ca="1"/>
        <v>Não</v>
      </c>
      <c r="N21">
        <f ca="1"/>
        <v>500</v>
      </c>
      <c r="O21">
        <f ca="1"/>
        <v>400</v>
      </c>
      <c r="P21">
        <f ca="1"/>
        <v>180</v>
      </c>
      <c r="Q21">
        <f ca="1"/>
        <v>250</v>
      </c>
      <c r="R21">
        <f ca="1"/>
        <v>0</v>
      </c>
      <c r="S21">
        <f ca="1"/>
        <v>200</v>
      </c>
      <c r="T21">
        <f ca="1"/>
        <v>1530</v>
      </c>
      <c r="U21">
        <f ca="1"/>
        <v>3063</v>
      </c>
      <c r="V21" t="str">
        <f ca="1"/>
        <v>&gt;3063</v>
      </c>
      <c r="W21" t="str">
        <f ca="1"/>
        <v>5000-10499</v>
      </c>
      <c r="X21" t="str">
        <f ca="1"/>
        <v>26-29</v>
      </c>
      <c r="Y21" t="str">
        <f ca="1"/>
        <v>-</v>
      </c>
      <c r="Z21">
        <f ca="1"/>
        <v>2015</v>
      </c>
      <c r="AA21" t="str">
        <f ca="1"/>
        <v/>
      </c>
    </row>
    <row r="22" spans="1:27" x14ac:dyDescent="0.25">
      <c r="A22" t="str">
        <f ca="1"/>
        <v>Fernando Oliveira</v>
      </c>
      <c r="B22" t="str">
        <f ca="1"/>
        <v>Masculino</v>
      </c>
      <c r="C22">
        <f ca="1"/>
        <v>34069</v>
      </c>
      <c r="D22">
        <f ca="1"/>
        <v>28</v>
      </c>
      <c r="E22" t="str">
        <f ca="1"/>
        <v>Ensino Médio</v>
      </c>
      <c r="F22" t="str">
        <f ca="1"/>
        <v>Assistente</v>
      </c>
      <c r="G22" t="str">
        <f ca="1"/>
        <v>RH</v>
      </c>
      <c r="H22">
        <f ca="1"/>
        <v>1750</v>
      </c>
      <c r="I22">
        <f ca="1"/>
        <v>44724</v>
      </c>
      <c r="J22" t="str">
        <f ca="1"/>
        <v>-</v>
      </c>
      <c r="K22" t="str">
        <f ca="1"/>
        <v>-</v>
      </c>
      <c r="L22" t="str">
        <f ca="1"/>
        <v>CLT</v>
      </c>
      <c r="M22" t="str">
        <f ca="1"/>
        <v>Não</v>
      </c>
      <c r="N22">
        <f ca="1"/>
        <v>300</v>
      </c>
      <c r="O22">
        <f ca="1"/>
        <v>250</v>
      </c>
      <c r="P22">
        <f ca="1"/>
        <v>80</v>
      </c>
      <c r="Q22">
        <f ca="1"/>
        <v>150</v>
      </c>
      <c r="R22">
        <f ca="1"/>
        <v>0</v>
      </c>
      <c r="S22">
        <f ca="1"/>
        <v>100</v>
      </c>
      <c r="T22">
        <f ca="1"/>
        <v>880</v>
      </c>
      <c r="U22">
        <f ca="1"/>
        <v>422</v>
      </c>
      <c r="V22" t="str">
        <f ca="1"/>
        <v>422-717</v>
      </c>
      <c r="W22" t="str">
        <f ca="1"/>
        <v>1600-3049</v>
      </c>
      <c r="X22" t="str">
        <f ca="1"/>
        <v>26-29</v>
      </c>
      <c r="Y22" t="str">
        <f ca="1"/>
        <v>-</v>
      </c>
      <c r="Z22">
        <f ca="1"/>
        <v>2022</v>
      </c>
      <c r="AA22" t="str">
        <f ca="1"/>
        <v/>
      </c>
    </row>
    <row r="23" spans="1:27" x14ac:dyDescent="0.25">
      <c r="A23" t="str">
        <f ca="1"/>
        <v>Vanessa Silva</v>
      </c>
      <c r="B23" t="str">
        <f ca="1"/>
        <v>Feminino</v>
      </c>
      <c r="C23">
        <f ca="1"/>
        <v>33225</v>
      </c>
      <c r="D23">
        <f ca="1"/>
        <v>31</v>
      </c>
      <c r="E23" t="str">
        <f ca="1"/>
        <v>Ensino Superior</v>
      </c>
      <c r="F23" t="str">
        <f ca="1"/>
        <v>Analista Sr</v>
      </c>
      <c r="G23" t="str">
        <f ca="1"/>
        <v>TI</v>
      </c>
      <c r="H23">
        <f ca="1"/>
        <v>8000</v>
      </c>
      <c r="I23">
        <f ca="1"/>
        <v>44048</v>
      </c>
      <c r="J23" t="str">
        <f ca="1"/>
        <v>-</v>
      </c>
      <c r="K23" t="str">
        <f ca="1"/>
        <v>-</v>
      </c>
      <c r="L23" t="str">
        <f ca="1"/>
        <v>CLT</v>
      </c>
      <c r="M23" t="str">
        <f ca="1"/>
        <v>Não</v>
      </c>
      <c r="N23">
        <f ca="1"/>
        <v>600</v>
      </c>
      <c r="O23">
        <f ca="1"/>
        <v>400</v>
      </c>
      <c r="P23">
        <f ca="1"/>
        <v>150</v>
      </c>
      <c r="Q23">
        <f ca="1"/>
        <v>300</v>
      </c>
      <c r="R23">
        <f ca="1"/>
        <v>0</v>
      </c>
      <c r="S23">
        <f ca="1"/>
        <v>200</v>
      </c>
      <c r="T23">
        <f ca="1"/>
        <v>1650</v>
      </c>
      <c r="U23">
        <f ca="1"/>
        <v>1098</v>
      </c>
      <c r="V23" t="str">
        <f ca="1"/>
        <v>718-1128</v>
      </c>
      <c r="W23" t="str">
        <f ca="1"/>
        <v>5000-10499</v>
      </c>
      <c r="X23" t="str">
        <f ca="1"/>
        <v>30-33</v>
      </c>
      <c r="Y23" t="str">
        <f ca="1"/>
        <v>Férias</v>
      </c>
      <c r="Z23">
        <f ca="1"/>
        <v>2020</v>
      </c>
      <c r="AA23" t="str">
        <f ca="1"/>
        <v/>
      </c>
    </row>
    <row r="24" spans="1:27" x14ac:dyDescent="0.25">
      <c r="A24" t="str">
        <f ca="1"/>
        <v>Rafael Mendes</v>
      </c>
      <c r="B24" t="str">
        <f ca="1"/>
        <v>Masculino</v>
      </c>
      <c r="C24">
        <f ca="1"/>
        <v>36063</v>
      </c>
      <c r="D24">
        <f ca="1"/>
        <v>23</v>
      </c>
      <c r="E24" t="str">
        <f ca="1"/>
        <v>Ensino Superior</v>
      </c>
      <c r="F24" t="str">
        <f ca="1"/>
        <v>Analista Jr</v>
      </c>
      <c r="G24" t="str">
        <f ca="1"/>
        <v>Finanças</v>
      </c>
      <c r="H24">
        <f ca="1"/>
        <v>3200</v>
      </c>
      <c r="I24">
        <f ca="1"/>
        <v>44985</v>
      </c>
      <c r="J24" t="str">
        <f ca="1"/>
        <v>-</v>
      </c>
      <c r="K24" t="str">
        <f ca="1"/>
        <v>-</v>
      </c>
      <c r="L24" t="str">
        <f ca="1"/>
        <v>CLT</v>
      </c>
      <c r="M24" t="str">
        <f ca="1"/>
        <v>Não</v>
      </c>
      <c r="N24">
        <f ca="1"/>
        <v>400</v>
      </c>
      <c r="O24">
        <f ca="1"/>
        <v>300</v>
      </c>
      <c r="P24">
        <f ca="1"/>
        <v>100</v>
      </c>
      <c r="Q24">
        <f ca="1"/>
        <v>180</v>
      </c>
      <c r="R24">
        <f ca="1"/>
        <v>0</v>
      </c>
      <c r="S24">
        <f ca="1"/>
        <v>150</v>
      </c>
      <c r="T24">
        <f ca="1"/>
        <v>1130</v>
      </c>
      <c r="U24">
        <f ca="1"/>
        <v>161</v>
      </c>
      <c r="V24" t="str">
        <f ca="1"/>
        <v>68-421</v>
      </c>
      <c r="W24" t="str">
        <f ca="1"/>
        <v>3050-4999</v>
      </c>
      <c r="X24" t="str">
        <f ca="1"/>
        <v>22-25</v>
      </c>
      <c r="Y24" t="str">
        <f ca="1"/>
        <v>-</v>
      </c>
      <c r="Z24">
        <f ca="1"/>
        <v>2023</v>
      </c>
      <c r="AA24" t="str">
        <f ca="1"/>
        <v/>
      </c>
    </row>
    <row r="25" spans="1:27" x14ac:dyDescent="0.25">
      <c r="A25" t="str">
        <f ca="1"/>
        <v>Carolina Almeida</v>
      </c>
      <c r="B25" t="str">
        <f ca="1"/>
        <v>Feminino</v>
      </c>
      <c r="C25">
        <f ca="1"/>
        <v>35266</v>
      </c>
      <c r="D25">
        <f ca="1"/>
        <v>25</v>
      </c>
      <c r="E25" t="str">
        <f ca="1"/>
        <v>Ensino Médio</v>
      </c>
      <c r="F25" t="str">
        <f ca="1"/>
        <v>Estagiário</v>
      </c>
      <c r="G25" t="str">
        <f ca="1"/>
        <v>TI</v>
      </c>
      <c r="H25">
        <f ca="1"/>
        <v>1800</v>
      </c>
      <c r="I25">
        <f ca="1"/>
        <v>44686</v>
      </c>
      <c r="J25">
        <f ca="1"/>
        <v>44895</v>
      </c>
      <c r="K25" t="str">
        <f ca="1"/>
        <v>Término de Contrato</v>
      </c>
      <c r="L25" t="str">
        <f ca="1"/>
        <v>Estágio</v>
      </c>
      <c r="M25" t="str">
        <f ca="1"/>
        <v>Não</v>
      </c>
      <c r="N25">
        <f ca="1"/>
        <v>200</v>
      </c>
      <c r="O25">
        <f ca="1"/>
        <v>150</v>
      </c>
      <c r="P25">
        <f ca="1"/>
        <v>50</v>
      </c>
      <c r="Q25">
        <f ca="1"/>
        <v>100</v>
      </c>
      <c r="R25">
        <f ca="1"/>
        <v>0</v>
      </c>
      <c r="S25">
        <f ca="1"/>
        <v>75</v>
      </c>
      <c r="T25">
        <f ca="1"/>
        <v>575</v>
      </c>
      <c r="U25">
        <f ca="1"/>
        <v>460</v>
      </c>
      <c r="V25" t="str">
        <f ca="1"/>
        <v>422-717</v>
      </c>
      <c r="W25" t="str">
        <f ca="1"/>
        <v>1600-3049</v>
      </c>
      <c r="X25" t="str">
        <f ca="1"/>
        <v>22-25</v>
      </c>
      <c r="Y25">
        <f ca="1"/>
        <v>0</v>
      </c>
      <c r="Z25">
        <f ca="1"/>
        <v>2022</v>
      </c>
      <c r="AA25">
        <f ca="1"/>
        <v>2022</v>
      </c>
    </row>
    <row r="26" spans="1:27" x14ac:dyDescent="0.25">
      <c r="A26" t="str">
        <f ca="1"/>
        <v>Marcelo Santos</v>
      </c>
      <c r="B26" t="str">
        <f ca="1"/>
        <v>Masculino</v>
      </c>
      <c r="C26">
        <f ca="1"/>
        <v>32516</v>
      </c>
      <c r="D26">
        <f ca="1"/>
        <v>32</v>
      </c>
      <c r="E26" t="str">
        <f ca="1"/>
        <v>Ensino Superior</v>
      </c>
      <c r="F26" t="str">
        <f ca="1"/>
        <v>Analista Sr</v>
      </c>
      <c r="G26" t="str">
        <f ca="1"/>
        <v>RH</v>
      </c>
      <c r="H26">
        <f ca="1"/>
        <v>6500</v>
      </c>
      <c r="I26">
        <f ca="1"/>
        <v>44454</v>
      </c>
      <c r="J26" t="str">
        <f ca="1"/>
        <v>-</v>
      </c>
      <c r="K26" t="str">
        <f ca="1"/>
        <v>-</v>
      </c>
      <c r="L26" t="str">
        <f ca="1"/>
        <v>CLT</v>
      </c>
      <c r="M26" t="str">
        <f ca="1"/>
        <v>Não</v>
      </c>
      <c r="N26">
        <f ca="1"/>
        <v>500</v>
      </c>
      <c r="O26">
        <f ca="1"/>
        <v>400</v>
      </c>
      <c r="P26">
        <f ca="1"/>
        <v>200</v>
      </c>
      <c r="Q26">
        <f ca="1"/>
        <v>250</v>
      </c>
      <c r="R26">
        <f ca="1"/>
        <v>0</v>
      </c>
      <c r="S26">
        <f ca="1"/>
        <v>200</v>
      </c>
      <c r="T26">
        <f ca="1"/>
        <v>1350</v>
      </c>
      <c r="U26">
        <f ca="1"/>
        <v>692</v>
      </c>
      <c r="V26" t="str">
        <f ca="1"/>
        <v>422-717</v>
      </c>
      <c r="W26" t="str">
        <f ca="1"/>
        <v>5000-10499</v>
      </c>
      <c r="X26" t="str">
        <f ca="1"/>
        <v>30-33</v>
      </c>
      <c r="Y26" t="str">
        <f ca="1"/>
        <v>Outros</v>
      </c>
      <c r="Z26">
        <f ca="1"/>
        <v>2021</v>
      </c>
      <c r="AA26" t="str">
        <f ca="1"/>
        <v/>
      </c>
    </row>
    <row r="27" spans="1:27" x14ac:dyDescent="0.25">
      <c r="A27" t="str">
        <f ca="1"/>
        <v>Mariana Oliveira</v>
      </c>
      <c r="B27" t="str">
        <f ca="1"/>
        <v>Feminino</v>
      </c>
      <c r="C27">
        <f ca="1"/>
        <v>35586</v>
      </c>
      <c r="D27">
        <f ca="1"/>
        <v>24</v>
      </c>
      <c r="E27" t="str">
        <f ca="1"/>
        <v>Ensino Superior</v>
      </c>
      <c r="F27" t="str">
        <f ca="1"/>
        <v>Assistente</v>
      </c>
      <c r="G27" t="str">
        <f ca="1"/>
        <v>Finanças</v>
      </c>
      <c r="H27">
        <f ca="1"/>
        <v>2000</v>
      </c>
      <c r="I27">
        <f ca="1"/>
        <v>44602</v>
      </c>
      <c r="J27" t="str">
        <f ca="1"/>
        <v>-</v>
      </c>
      <c r="K27" t="str">
        <f ca="1"/>
        <v>-</v>
      </c>
      <c r="L27" t="str">
        <f ca="1"/>
        <v>CLT</v>
      </c>
      <c r="M27" t="str">
        <f ca="1"/>
        <v>Não</v>
      </c>
      <c r="N27">
        <f ca="1"/>
        <v>900</v>
      </c>
      <c r="O27">
        <f ca="1"/>
        <v>600</v>
      </c>
      <c r="P27">
        <f ca="1"/>
        <v>250</v>
      </c>
      <c r="Q27">
        <f ca="1"/>
        <v>400</v>
      </c>
      <c r="R27">
        <f ca="1"/>
        <v>0</v>
      </c>
      <c r="S27">
        <f ca="1"/>
        <v>250</v>
      </c>
      <c r="T27">
        <f ca="1"/>
        <v>2200</v>
      </c>
      <c r="U27">
        <f ca="1"/>
        <v>544</v>
      </c>
      <c r="V27" t="str">
        <f ca="1"/>
        <v>422-717</v>
      </c>
      <c r="W27" t="str">
        <f ca="1"/>
        <v>1600-3049</v>
      </c>
      <c r="X27" t="str">
        <f ca="1"/>
        <v>22-25</v>
      </c>
      <c r="Y27" t="str">
        <f ca="1"/>
        <v>-</v>
      </c>
      <c r="Z27">
        <f ca="1"/>
        <v>2022</v>
      </c>
      <c r="AA27" t="str">
        <f ca="1"/>
        <v/>
      </c>
    </row>
    <row r="28" spans="1:27" x14ac:dyDescent="0.25">
      <c r="A28" t="str">
        <f ca="1"/>
        <v>Ricardo Lima</v>
      </c>
      <c r="B28" t="str">
        <f ca="1"/>
        <v>Masculino</v>
      </c>
      <c r="C28">
        <f ca="1"/>
        <v>31838</v>
      </c>
      <c r="D28">
        <f ca="1"/>
        <v>34</v>
      </c>
      <c r="E28" t="str">
        <f ca="1"/>
        <v>Ensino Superior</v>
      </c>
      <c r="F28" t="str">
        <f ca="1"/>
        <v>Analista Jr</v>
      </c>
      <c r="G28" t="str">
        <f ca="1"/>
        <v>Finanças</v>
      </c>
      <c r="H28">
        <f ca="1"/>
        <v>3200</v>
      </c>
      <c r="I28">
        <f ca="1"/>
        <v>43383</v>
      </c>
      <c r="J28" t="str">
        <f ca="1"/>
        <v>-</v>
      </c>
      <c r="K28" t="str">
        <f ca="1"/>
        <v>-</v>
      </c>
      <c r="L28" t="str">
        <f ca="1"/>
        <v>CLT</v>
      </c>
      <c r="M28" t="str">
        <f ca="1"/>
        <v>Não</v>
      </c>
      <c r="N28">
        <f ca="1"/>
        <v>1200</v>
      </c>
      <c r="O28">
        <f ca="1"/>
        <v>800</v>
      </c>
      <c r="P28">
        <f ca="1"/>
        <v>350</v>
      </c>
      <c r="Q28">
        <f ca="1"/>
        <v>500</v>
      </c>
      <c r="R28">
        <f ca="1"/>
        <v>0</v>
      </c>
      <c r="S28">
        <f ca="1"/>
        <v>300</v>
      </c>
      <c r="T28">
        <f ca="1"/>
        <v>2950</v>
      </c>
      <c r="U28">
        <f ca="1"/>
        <v>1763</v>
      </c>
      <c r="V28" t="str">
        <f ca="1"/>
        <v>1129-3062</v>
      </c>
      <c r="W28" t="str">
        <f ca="1"/>
        <v>3050-4999</v>
      </c>
      <c r="X28" t="str">
        <f ca="1"/>
        <v>34-47</v>
      </c>
      <c r="Y28" t="str">
        <f ca="1"/>
        <v>Férias</v>
      </c>
      <c r="Z28">
        <f ca="1"/>
        <v>2018</v>
      </c>
      <c r="AA28" t="str">
        <f ca="1"/>
        <v/>
      </c>
    </row>
    <row r="29" spans="1:27" x14ac:dyDescent="0.25">
      <c r="A29" t="str">
        <f ca="1"/>
        <v>Gabriela Fernandes</v>
      </c>
      <c r="B29" t="str">
        <f ca="1"/>
        <v>Feminino</v>
      </c>
      <c r="C29">
        <f ca="1"/>
        <v>34990</v>
      </c>
      <c r="D29">
        <f ca="1"/>
        <v>26</v>
      </c>
      <c r="E29" t="str">
        <f ca="1"/>
        <v>Ensino Superior</v>
      </c>
      <c r="F29" t="str">
        <f ca="1"/>
        <v>Analista Jr</v>
      </c>
      <c r="G29" t="str">
        <f ca="1"/>
        <v>TI</v>
      </c>
      <c r="H29">
        <f ca="1"/>
        <v>4500</v>
      </c>
      <c r="I29">
        <f ca="1"/>
        <v>45078</v>
      </c>
      <c r="J29" t="str">
        <f ca="1"/>
        <v>-</v>
      </c>
      <c r="K29" t="str">
        <f ca="1"/>
        <v>-</v>
      </c>
      <c r="L29" t="str">
        <f ca="1"/>
        <v>CLT</v>
      </c>
      <c r="M29" t="str">
        <f ca="1"/>
        <v>Não</v>
      </c>
      <c r="N29">
        <f ca="1"/>
        <v>400</v>
      </c>
      <c r="O29">
        <f ca="1"/>
        <v>300</v>
      </c>
      <c r="P29">
        <f ca="1"/>
        <v>100</v>
      </c>
      <c r="Q29">
        <f ca="1"/>
        <v>180</v>
      </c>
      <c r="R29">
        <f ca="1"/>
        <v>0</v>
      </c>
      <c r="S29">
        <f ca="1"/>
        <v>120</v>
      </c>
      <c r="T29">
        <f ca="1"/>
        <v>1100</v>
      </c>
      <c r="U29">
        <f ca="1"/>
        <v>68</v>
      </c>
      <c r="V29" t="str">
        <f ca="1"/>
        <v>68-421</v>
      </c>
      <c r="W29" t="str">
        <f ca="1"/>
        <v>3050-4999</v>
      </c>
      <c r="X29" t="str">
        <f ca="1"/>
        <v>26-29</v>
      </c>
      <c r="Y29" t="str">
        <f ca="1"/>
        <v>-</v>
      </c>
      <c r="Z29">
        <f ca="1"/>
        <v>2023</v>
      </c>
      <c r="AA29" t="str">
        <f ca="1"/>
        <v/>
      </c>
    </row>
    <row r="30" spans="1:27" x14ac:dyDescent="0.25">
      <c r="A30" t="str">
        <f ca="1"/>
        <v>Lucas Oliveira</v>
      </c>
      <c r="B30" t="str">
        <f ca="1"/>
        <v>Masculino</v>
      </c>
      <c r="C30">
        <f ca="1"/>
        <v>33938</v>
      </c>
      <c r="D30">
        <f ca="1"/>
        <v>29</v>
      </c>
      <c r="E30" t="str">
        <f ca="1"/>
        <v>Ensino Superior</v>
      </c>
      <c r="F30" t="str">
        <f ca="1"/>
        <v>Analista Sr</v>
      </c>
      <c r="G30" t="str">
        <f ca="1"/>
        <v>RH</v>
      </c>
      <c r="H30">
        <f ca="1"/>
        <v>6500</v>
      </c>
      <c r="I30">
        <f ca="1"/>
        <v>44788</v>
      </c>
      <c r="J30" t="str">
        <f ca="1"/>
        <v>-</v>
      </c>
      <c r="K30" t="str">
        <f ca="1"/>
        <v>-</v>
      </c>
      <c r="L30" t="str">
        <f ca="1"/>
        <v>CLT</v>
      </c>
      <c r="M30" t="str">
        <f ca="1"/>
        <v>Não</v>
      </c>
      <c r="N30">
        <f ca="1"/>
        <v>600</v>
      </c>
      <c r="O30">
        <f ca="1"/>
        <v>450</v>
      </c>
      <c r="P30">
        <f ca="1"/>
        <v>150</v>
      </c>
      <c r="Q30">
        <f ca="1"/>
        <v>300</v>
      </c>
      <c r="R30">
        <f ca="1"/>
        <v>0</v>
      </c>
      <c r="S30">
        <f ca="1"/>
        <v>200</v>
      </c>
      <c r="T30">
        <f ca="1"/>
        <v>1700</v>
      </c>
      <c r="U30">
        <f ca="1"/>
        <v>358</v>
      </c>
      <c r="V30" t="str">
        <f ca="1"/>
        <v>68-421</v>
      </c>
      <c r="W30" t="str">
        <f ca="1"/>
        <v>5000-10499</v>
      </c>
      <c r="X30" t="str">
        <f ca="1"/>
        <v>26-29</v>
      </c>
      <c r="Y30" t="str">
        <f ca="1"/>
        <v>-</v>
      </c>
      <c r="Z30">
        <f ca="1"/>
        <v>2022</v>
      </c>
      <c r="AA30" t="str">
        <f ca="1"/>
        <v/>
      </c>
    </row>
    <row r="31" spans="1:27" x14ac:dyDescent="0.25">
      <c r="A31" t="str">
        <f ca="1"/>
        <v>Leonardo Almeida</v>
      </c>
      <c r="B31" t="str">
        <f ca="1"/>
        <v>Masculino</v>
      </c>
      <c r="C31">
        <f ca="1"/>
        <v>32377</v>
      </c>
      <c r="D31">
        <f ca="1"/>
        <v>33</v>
      </c>
      <c r="E31" t="str">
        <f ca="1"/>
        <v>Ensino Superior</v>
      </c>
      <c r="F31" t="str">
        <f ca="1"/>
        <v>Analista Sr</v>
      </c>
      <c r="G31" t="str">
        <f ca="1"/>
        <v>TI</v>
      </c>
      <c r="H31">
        <f ca="1"/>
        <v>8000</v>
      </c>
      <c r="I31">
        <f ca="1"/>
        <v>44084</v>
      </c>
      <c r="J31" t="str">
        <f ca="1"/>
        <v>-</v>
      </c>
      <c r="K31" t="str">
        <f ca="1"/>
        <v>-</v>
      </c>
      <c r="L31" t="str">
        <f ca="1"/>
        <v>CLT</v>
      </c>
      <c r="M31" t="str">
        <f ca="1"/>
        <v>Não</v>
      </c>
      <c r="N31">
        <f ca="1"/>
        <v>900</v>
      </c>
      <c r="O31">
        <f ca="1"/>
        <v>600</v>
      </c>
      <c r="P31">
        <f ca="1"/>
        <v>250</v>
      </c>
      <c r="Q31">
        <f ca="1"/>
        <v>400</v>
      </c>
      <c r="R31">
        <f ca="1"/>
        <v>0</v>
      </c>
      <c r="S31">
        <f ca="1"/>
        <v>250</v>
      </c>
      <c r="T31">
        <f ca="1"/>
        <v>2200</v>
      </c>
      <c r="U31">
        <f ca="1"/>
        <v>1062</v>
      </c>
      <c r="V31" t="str">
        <f ca="1"/>
        <v>718-1128</v>
      </c>
      <c r="W31" t="str">
        <f ca="1"/>
        <v>5000-10499</v>
      </c>
      <c r="X31" t="str">
        <f ca="1"/>
        <v>30-33</v>
      </c>
      <c r="Y31" t="str">
        <f ca="1"/>
        <v>-</v>
      </c>
      <c r="Z31">
        <f ca="1"/>
        <v>2020</v>
      </c>
      <c r="AA31" t="str">
        <f ca="1"/>
        <v/>
      </c>
    </row>
    <row r="32" spans="1:27" x14ac:dyDescent="0.25">
      <c r="A32" t="str">
        <f ca="1"/>
        <v>Carla Santos</v>
      </c>
      <c r="B32" t="str">
        <f ca="1"/>
        <v>Feminino</v>
      </c>
      <c r="C32">
        <f ca="1"/>
        <v>35215</v>
      </c>
      <c r="D32">
        <f ca="1"/>
        <v>25</v>
      </c>
      <c r="E32" t="str">
        <f ca="1"/>
        <v>Ensino Superior</v>
      </c>
      <c r="F32" t="str">
        <f ca="1"/>
        <v>Assistente</v>
      </c>
      <c r="G32" t="str">
        <f ca="1"/>
        <v>RH</v>
      </c>
      <c r="H32">
        <f ca="1"/>
        <v>1750</v>
      </c>
      <c r="I32">
        <f ca="1"/>
        <v>44586</v>
      </c>
      <c r="J32" t="str">
        <f ca="1"/>
        <v>-</v>
      </c>
      <c r="K32" t="str">
        <f ca="1"/>
        <v>-</v>
      </c>
      <c r="L32" t="str">
        <f ca="1"/>
        <v>CLT</v>
      </c>
      <c r="M32" t="str">
        <f ca="1"/>
        <v>Não</v>
      </c>
      <c r="N32">
        <f ca="1"/>
        <v>500</v>
      </c>
      <c r="O32">
        <f ca="1"/>
        <v>400</v>
      </c>
      <c r="P32">
        <f ca="1"/>
        <v>180</v>
      </c>
      <c r="Q32">
        <f ca="1"/>
        <v>250</v>
      </c>
      <c r="R32">
        <f ca="1"/>
        <v>0</v>
      </c>
      <c r="S32">
        <f ca="1"/>
        <v>200</v>
      </c>
      <c r="T32">
        <f ca="1"/>
        <v>1430</v>
      </c>
      <c r="U32">
        <f ca="1"/>
        <v>560</v>
      </c>
      <c r="V32" t="str">
        <f ca="1"/>
        <v>422-717</v>
      </c>
      <c r="W32" t="str">
        <f ca="1"/>
        <v>1600-3049</v>
      </c>
      <c r="X32" t="str">
        <f ca="1"/>
        <v>22-25</v>
      </c>
      <c r="Y32" t="str">
        <f ca="1"/>
        <v>-</v>
      </c>
      <c r="Z32">
        <f ca="1"/>
        <v>2022</v>
      </c>
      <c r="AA32" t="str">
        <f ca="1"/>
        <v/>
      </c>
    </row>
    <row r="33" spans="1:27" x14ac:dyDescent="0.25">
      <c r="A33" t="str">
        <f ca="1"/>
        <v>Gustavo Oliveira</v>
      </c>
      <c r="B33" t="str">
        <f ca="1"/>
        <v>Masculino</v>
      </c>
      <c r="C33">
        <f ca="1"/>
        <v>33284</v>
      </c>
      <c r="D33">
        <f ca="1"/>
        <v>30</v>
      </c>
      <c r="E33" t="str">
        <f ca="1"/>
        <v>Ensino Superior</v>
      </c>
      <c r="F33" t="str">
        <f ca="1"/>
        <v>Analista Jr</v>
      </c>
      <c r="G33" t="str">
        <f ca="1"/>
        <v>Finanças</v>
      </c>
      <c r="H33">
        <f ca="1"/>
        <v>3200</v>
      </c>
      <c r="I33">
        <f ca="1"/>
        <v>44136</v>
      </c>
      <c r="J33" t="str">
        <f ca="1"/>
        <v>-</v>
      </c>
      <c r="K33" t="str">
        <f ca="1"/>
        <v>-</v>
      </c>
      <c r="L33" t="str">
        <f ca="1"/>
        <v>CLT</v>
      </c>
      <c r="M33" t="str">
        <f ca="1"/>
        <v>Não</v>
      </c>
      <c r="N33">
        <f ca="1"/>
        <v>400</v>
      </c>
      <c r="O33">
        <f ca="1"/>
        <v>300</v>
      </c>
      <c r="P33">
        <f ca="1"/>
        <v>100</v>
      </c>
      <c r="Q33">
        <f ca="1"/>
        <v>200</v>
      </c>
      <c r="R33">
        <f ca="1"/>
        <v>0</v>
      </c>
      <c r="S33">
        <f ca="1"/>
        <v>150</v>
      </c>
      <c r="T33">
        <f ca="1"/>
        <v>1150</v>
      </c>
      <c r="U33">
        <f ca="1"/>
        <v>1010</v>
      </c>
      <c r="V33" t="str">
        <f ca="1"/>
        <v>718-1128</v>
      </c>
      <c r="W33" t="str">
        <f ca="1"/>
        <v>3050-4999</v>
      </c>
      <c r="X33" t="str">
        <f ca="1"/>
        <v>30-33</v>
      </c>
      <c r="Y33" t="str">
        <f ca="1"/>
        <v>Outros</v>
      </c>
      <c r="Z33">
        <f ca="1"/>
        <v>2020</v>
      </c>
      <c r="AA33" t="str">
        <f ca="1"/>
        <v/>
      </c>
    </row>
    <row r="34" spans="1:27" x14ac:dyDescent="0.25">
      <c r="A34" t="str">
        <f ca="1"/>
        <v>Isabela Fernandes</v>
      </c>
      <c r="B34" t="str">
        <f ca="1"/>
        <v>Feminino</v>
      </c>
      <c r="C34">
        <f ca="1"/>
        <v>34587</v>
      </c>
      <c r="D34">
        <f ca="1"/>
        <v>27</v>
      </c>
      <c r="E34" t="str">
        <f ca="1"/>
        <v>Ensino Superior</v>
      </c>
      <c r="F34" t="str">
        <f ca="1"/>
        <v>Assistente</v>
      </c>
      <c r="G34" t="str">
        <f ca="1"/>
        <v>TI</v>
      </c>
      <c r="H34">
        <f ca="1"/>
        <v>3100</v>
      </c>
      <c r="I34">
        <f ca="1"/>
        <v>44941</v>
      </c>
      <c r="J34" t="str">
        <f ca="1"/>
        <v>-</v>
      </c>
      <c r="K34" t="str">
        <f ca="1"/>
        <v>-</v>
      </c>
      <c r="L34" t="str">
        <f ca="1"/>
        <v>CLT</v>
      </c>
      <c r="M34" t="str">
        <f ca="1"/>
        <v>Não</v>
      </c>
      <c r="N34">
        <f ca="1"/>
        <v>600</v>
      </c>
      <c r="O34">
        <f ca="1"/>
        <v>400</v>
      </c>
      <c r="P34">
        <f ca="1"/>
        <v>150</v>
      </c>
      <c r="Q34">
        <f ca="1"/>
        <v>300</v>
      </c>
      <c r="R34">
        <f ca="1"/>
        <v>0</v>
      </c>
      <c r="S34">
        <f ca="1"/>
        <v>200</v>
      </c>
      <c r="T34">
        <f ca="1"/>
        <v>1650</v>
      </c>
      <c r="U34">
        <f ca="1"/>
        <v>205</v>
      </c>
      <c r="V34" t="str">
        <f ca="1"/>
        <v>68-421</v>
      </c>
      <c r="W34" t="str">
        <f ca="1"/>
        <v>3050-4999</v>
      </c>
      <c r="X34" t="str">
        <f ca="1"/>
        <v>26-29</v>
      </c>
      <c r="Y34" t="str">
        <f ca="1"/>
        <v>-</v>
      </c>
      <c r="Z34">
        <f ca="1"/>
        <v>2023</v>
      </c>
      <c r="AA34" t="str">
        <f ca="1"/>
        <v/>
      </c>
    </row>
    <row r="35" spans="1:27" x14ac:dyDescent="0.25">
      <c r="A35" t="str">
        <f ca="1"/>
        <v>Andréia Oliveira</v>
      </c>
      <c r="B35" t="str">
        <f ca="1"/>
        <v>Feminino</v>
      </c>
      <c r="C35">
        <f ca="1"/>
        <v>34053</v>
      </c>
      <c r="D35">
        <f ca="1"/>
        <v>28</v>
      </c>
      <c r="E35" t="str">
        <f ca="1"/>
        <v>Ensino Superior</v>
      </c>
      <c r="F35" t="str">
        <f ca="1"/>
        <v>Assistente</v>
      </c>
      <c r="G35" t="str">
        <f ca="1"/>
        <v>Finanças</v>
      </c>
      <c r="H35">
        <f ca="1"/>
        <v>2000</v>
      </c>
      <c r="I35">
        <f ca="1"/>
        <v>44017</v>
      </c>
      <c r="J35" t="str">
        <f ca="1"/>
        <v>-</v>
      </c>
      <c r="K35" t="str">
        <f ca="1"/>
        <v>-</v>
      </c>
      <c r="L35" t="str">
        <f ca="1"/>
        <v>CLT</v>
      </c>
      <c r="M35" t="str">
        <f ca="1"/>
        <v>Não</v>
      </c>
      <c r="N35">
        <f ca="1"/>
        <v>900</v>
      </c>
      <c r="O35">
        <f ca="1"/>
        <v>600</v>
      </c>
      <c r="P35">
        <f ca="1"/>
        <v>250</v>
      </c>
      <c r="Q35">
        <f ca="1"/>
        <v>400</v>
      </c>
      <c r="R35">
        <f ca="1"/>
        <v>0</v>
      </c>
      <c r="S35">
        <f ca="1"/>
        <v>250</v>
      </c>
      <c r="T35">
        <f ca="1"/>
        <v>2200</v>
      </c>
      <c r="U35">
        <f ca="1"/>
        <v>1129</v>
      </c>
      <c r="V35" t="str">
        <f ca="1"/>
        <v>1129-3062</v>
      </c>
      <c r="W35" t="str">
        <f ca="1"/>
        <v>1600-3049</v>
      </c>
      <c r="X35" t="str">
        <f ca="1"/>
        <v>26-29</v>
      </c>
      <c r="Y35" t="str">
        <f ca="1"/>
        <v>-</v>
      </c>
      <c r="Z35">
        <f ca="1"/>
        <v>2020</v>
      </c>
      <c r="AA35" t="str">
        <f ca="1"/>
        <v/>
      </c>
    </row>
    <row r="36" spans="1:27" x14ac:dyDescent="0.25">
      <c r="A36" t="str">
        <f ca="1"/>
        <v>Rafaela Lima</v>
      </c>
      <c r="B36" t="str">
        <f ca="1"/>
        <v>Feminino</v>
      </c>
      <c r="C36">
        <f ca="1"/>
        <v>32860</v>
      </c>
      <c r="D36">
        <f ca="1"/>
        <v>32</v>
      </c>
      <c r="E36" t="str">
        <f ca="1"/>
        <v>Ensino Médio</v>
      </c>
      <c r="F36" t="str">
        <f ca="1"/>
        <v>Assistente</v>
      </c>
      <c r="G36" t="str">
        <f ca="1"/>
        <v>TI</v>
      </c>
      <c r="H36">
        <f ca="1"/>
        <v>3100</v>
      </c>
      <c r="I36">
        <f ca="1"/>
        <v>44084</v>
      </c>
      <c r="J36" t="str">
        <f ca="1"/>
        <v>-</v>
      </c>
      <c r="K36" t="str">
        <f ca="1"/>
        <v>-</v>
      </c>
      <c r="L36" t="str">
        <f ca="1"/>
        <v>CLT</v>
      </c>
      <c r="M36" t="str">
        <f ca="1"/>
        <v>Não</v>
      </c>
      <c r="N36">
        <f ca="1"/>
        <v>300</v>
      </c>
      <c r="O36">
        <f ca="1"/>
        <v>250</v>
      </c>
      <c r="P36">
        <f ca="1"/>
        <v>80</v>
      </c>
      <c r="Q36">
        <f ca="1"/>
        <v>150</v>
      </c>
      <c r="R36">
        <f ca="1"/>
        <v>0</v>
      </c>
      <c r="S36">
        <f ca="1"/>
        <v>100</v>
      </c>
      <c r="T36">
        <f ca="1"/>
        <v>880</v>
      </c>
      <c r="U36">
        <f ca="1"/>
        <v>1062</v>
      </c>
      <c r="V36" t="str">
        <f ca="1"/>
        <v>718-1128</v>
      </c>
      <c r="W36" t="str">
        <f ca="1"/>
        <v>3050-4999</v>
      </c>
      <c r="X36" t="str">
        <f ca="1"/>
        <v>30-33</v>
      </c>
      <c r="Y36" t="str">
        <f ca="1"/>
        <v>-</v>
      </c>
      <c r="Z36">
        <f ca="1"/>
        <v>2020</v>
      </c>
      <c r="AA36" t="str">
        <f ca="1"/>
        <v/>
      </c>
    </row>
    <row r="37" spans="1:27" x14ac:dyDescent="0.25">
      <c r="A37" t="str">
        <f ca="1"/>
        <v>Felipe Santos</v>
      </c>
      <c r="B37" t="str">
        <f ca="1"/>
        <v>Masculino</v>
      </c>
      <c r="C37">
        <f ca="1"/>
        <v>32968</v>
      </c>
      <c r="D37">
        <f ca="1"/>
        <v>31</v>
      </c>
      <c r="E37" t="str">
        <f ca="1"/>
        <v>Ensino Superior</v>
      </c>
      <c r="F37" t="str">
        <f ca="1"/>
        <v>Analista Jr</v>
      </c>
      <c r="G37" t="str">
        <f ca="1"/>
        <v>Finanças</v>
      </c>
      <c r="H37">
        <f ca="1"/>
        <v>3200</v>
      </c>
      <c r="I37">
        <f ca="1"/>
        <v>44632</v>
      </c>
      <c r="J37" t="str">
        <f ca="1"/>
        <v>-</v>
      </c>
      <c r="K37" t="str">
        <f ca="1"/>
        <v>-</v>
      </c>
      <c r="L37" t="str">
        <f ca="1"/>
        <v>CLT</v>
      </c>
      <c r="M37" t="str">
        <f ca="1"/>
        <v>Não</v>
      </c>
      <c r="N37">
        <f ca="1"/>
        <v>400</v>
      </c>
      <c r="O37">
        <f ca="1"/>
        <v>300</v>
      </c>
      <c r="P37">
        <f ca="1"/>
        <v>100</v>
      </c>
      <c r="Q37">
        <f ca="1"/>
        <v>180</v>
      </c>
      <c r="R37">
        <f ca="1"/>
        <v>0</v>
      </c>
      <c r="S37">
        <f ca="1"/>
        <v>150</v>
      </c>
      <c r="T37">
        <f ca="1"/>
        <v>1130</v>
      </c>
      <c r="U37">
        <f ca="1"/>
        <v>514</v>
      </c>
      <c r="V37" t="str">
        <f ca="1"/>
        <v>422-717</v>
      </c>
      <c r="W37" t="str">
        <f ca="1"/>
        <v>3050-4999</v>
      </c>
      <c r="X37" t="str">
        <f ca="1"/>
        <v>30-33</v>
      </c>
      <c r="Y37" t="str">
        <f ca="1"/>
        <v>-</v>
      </c>
      <c r="Z37">
        <f ca="1"/>
        <v>2022</v>
      </c>
      <c r="AA37" t="str">
        <f ca="1"/>
        <v/>
      </c>
    </row>
    <row r="38" spans="1:27" x14ac:dyDescent="0.25">
      <c r="A38" t="str">
        <f ca="1"/>
        <v>Vitor Oliveira</v>
      </c>
      <c r="B38" t="str">
        <f ca="1"/>
        <v>Masculino</v>
      </c>
      <c r="C38">
        <f ca="1"/>
        <v>31258</v>
      </c>
      <c r="D38">
        <f ca="1"/>
        <v>36</v>
      </c>
      <c r="E38" t="str">
        <f ca="1"/>
        <v>Ensino Superior</v>
      </c>
      <c r="F38" t="str">
        <f ca="1"/>
        <v>Assistente</v>
      </c>
      <c r="G38" t="str">
        <f ca="1"/>
        <v>RH</v>
      </c>
      <c r="H38">
        <f ca="1"/>
        <v>1750</v>
      </c>
      <c r="I38">
        <f ca="1"/>
        <v>44017</v>
      </c>
      <c r="J38" t="str">
        <f ca="1"/>
        <v>-</v>
      </c>
      <c r="K38" t="str">
        <f ca="1"/>
        <v>-</v>
      </c>
      <c r="L38" t="str">
        <f ca="1"/>
        <v>CLT</v>
      </c>
      <c r="M38" t="str">
        <f ca="1"/>
        <v>Não</v>
      </c>
      <c r="N38">
        <f ca="1"/>
        <v>800</v>
      </c>
      <c r="O38">
        <f ca="1"/>
        <v>600</v>
      </c>
      <c r="P38">
        <f ca="1"/>
        <v>250</v>
      </c>
      <c r="Q38">
        <f ca="1"/>
        <v>400</v>
      </c>
      <c r="R38">
        <f ca="1"/>
        <v>0</v>
      </c>
      <c r="S38">
        <f ca="1"/>
        <v>250</v>
      </c>
      <c r="T38">
        <f ca="1"/>
        <v>2300</v>
      </c>
      <c r="U38">
        <f ca="1"/>
        <v>1129</v>
      </c>
      <c r="V38" t="str">
        <f ca="1"/>
        <v>1129-3062</v>
      </c>
      <c r="W38" t="str">
        <f ca="1"/>
        <v>1600-3049</v>
      </c>
      <c r="X38" t="str">
        <f ca="1"/>
        <v>34-47</v>
      </c>
      <c r="Y38" t="str">
        <f ca="1"/>
        <v>Férias</v>
      </c>
      <c r="Z38">
        <f ca="1"/>
        <v>2020</v>
      </c>
      <c r="AA38" t="str">
        <f ca="1"/>
        <v/>
      </c>
    </row>
    <row r="39" spans="1:27" x14ac:dyDescent="0.25">
      <c r="A39" t="str">
        <f ca="1"/>
        <v>Gilberto Torres</v>
      </c>
      <c r="B39" t="str">
        <f ca="1"/>
        <v>Masculino</v>
      </c>
      <c r="C39">
        <f ca="1"/>
        <v>27546</v>
      </c>
      <c r="D39">
        <f ca="1"/>
        <v>48</v>
      </c>
      <c r="E39" t="str">
        <f ca="1"/>
        <v>Ensino Superior</v>
      </c>
      <c r="F39" t="str">
        <f ca="1"/>
        <v>Supervisor</v>
      </c>
      <c r="G39" t="str">
        <f ca="1"/>
        <v>Finanças</v>
      </c>
      <c r="H39">
        <f ca="1"/>
        <v>11000</v>
      </c>
      <c r="I39">
        <f ca="1"/>
        <v>44017</v>
      </c>
      <c r="J39" t="str">
        <f ca="1"/>
        <v>-</v>
      </c>
      <c r="K39" t="str">
        <f ca="1"/>
        <v>-</v>
      </c>
      <c r="L39" t="str">
        <f ca="1"/>
        <v>CLT</v>
      </c>
      <c r="M39" t="str">
        <f ca="1"/>
        <v>Não</v>
      </c>
      <c r="N39">
        <f ca="1"/>
        <v>1200</v>
      </c>
      <c r="O39">
        <f ca="1"/>
        <v>300</v>
      </c>
      <c r="P39">
        <f ca="1"/>
        <v>100</v>
      </c>
      <c r="Q39">
        <f ca="1"/>
        <v>200</v>
      </c>
      <c r="R39">
        <f ca="1"/>
        <v>0</v>
      </c>
      <c r="S39">
        <f ca="1"/>
        <v>150</v>
      </c>
      <c r="T39">
        <f ca="1"/>
        <v>1950</v>
      </c>
      <c r="U39">
        <f ca="1"/>
        <v>1129</v>
      </c>
      <c r="V39" t="str">
        <f ca="1"/>
        <v>1129-3062</v>
      </c>
      <c r="W39" t="str">
        <f ca="1"/>
        <v>10500-16999</v>
      </c>
      <c r="X39" t="str">
        <f ca="1"/>
        <v>48-50</v>
      </c>
      <c r="Y39" t="str">
        <f ca="1"/>
        <v>Ativo</v>
      </c>
      <c r="Z39">
        <f ca="1"/>
        <v>2020</v>
      </c>
      <c r="AA39" t="str">
        <f ca="1"/>
        <v/>
      </c>
    </row>
  </sheetData>
  <sheetProtection algorithmName="SHA-512" hashValue="8vKHEOZuLlSDsbzR/hMjtmqjaHl4QI3+9aQ4tNYTFvtLumtRg0EXrUCDELtmgCwkV+dcCQ8HEjjhGiBHR2CszQ==" saltValue="7PZLnOoBfMNSwMhJG0tkH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1A054-A1A1-4CBB-90DD-484B8A92C0B5}">
  <dimension ref="A1:AA5"/>
  <sheetViews>
    <sheetView workbookViewId="0">
      <selection activeCell="H18" sqref="H18:H19"/>
    </sheetView>
  </sheetViews>
  <sheetFormatPr defaultRowHeight="15" x14ac:dyDescent="0.25"/>
  <sheetData>
    <row r="1" spans="1:27" x14ac:dyDescent="0.25">
      <c r="A1" t="str" cm="1">
        <f t="array" aca="1" ref="A1:AA5" ca="1">_xlfn._xlws.FILTER(Tabela1[],(IF(Auxiliar!$J$2="(Tudo)",Tabela1[Ano_cont]&lt;&gt;"",Tabela1[Ano_cont]=Auxiliar!$J$2)
*(IF(Auxiliar!$J$8="(Tudo)",Tabela1[Contrato]&lt;&gt;"",Tabela1[Contrato]=Auxiliar!$J$8)
*(IF(Auxiliar!$J$5="(Tudo)",Tabela1[Área]&lt;&gt;"",Tabela1[Área]=Auxiliar!$J$5))
*(Tabela1[Status]="Desligado"))),{"Valor Inexistente"})</f>
        <v>Laura Ferreira</v>
      </c>
      <c r="B1" t="str">
        <f ca="1"/>
        <v>Feminino</v>
      </c>
      <c r="C1">
        <f ca="1"/>
        <v>34383</v>
      </c>
      <c r="D1">
        <f ca="1"/>
        <v>29</v>
      </c>
      <c r="E1" t="str">
        <f ca="1"/>
        <v>Ensino Superior</v>
      </c>
      <c r="F1" t="str">
        <f ca="1"/>
        <v>Assistente</v>
      </c>
      <c r="G1" t="str">
        <f ca="1"/>
        <v>RH</v>
      </c>
      <c r="H1">
        <f ca="1"/>
        <v>1750</v>
      </c>
      <c r="I1">
        <f ca="1"/>
        <v>43779</v>
      </c>
      <c r="J1">
        <f ca="1"/>
        <v>45019</v>
      </c>
      <c r="K1" t="str">
        <f ca="1"/>
        <v>Demissão sem justa causa</v>
      </c>
      <c r="L1" t="str">
        <f ca="1"/>
        <v>CLT</v>
      </c>
      <c r="M1" t="str">
        <f ca="1"/>
        <v>Não</v>
      </c>
      <c r="N1">
        <f ca="1"/>
        <v>500</v>
      </c>
      <c r="O1">
        <f ca="1"/>
        <v>400</v>
      </c>
      <c r="P1">
        <f ca="1"/>
        <v>200</v>
      </c>
      <c r="Q1">
        <f ca="1"/>
        <v>250</v>
      </c>
      <c r="R1">
        <f ca="1"/>
        <v>0</v>
      </c>
      <c r="S1">
        <f ca="1"/>
        <v>200</v>
      </c>
      <c r="T1">
        <f ca="1"/>
        <v>1550</v>
      </c>
      <c r="U1">
        <f ca="1"/>
        <v>1367</v>
      </c>
      <c r="V1" t="str">
        <f ca="1"/>
        <v>1129-3062</v>
      </c>
      <c r="W1" t="str">
        <f ca="1"/>
        <v>1600-3049</v>
      </c>
      <c r="X1" t="str">
        <f ca="1"/>
        <v>26-29</v>
      </c>
      <c r="Y1" t="str">
        <f ca="1"/>
        <v>Desligado</v>
      </c>
      <c r="Z1">
        <f ca="1"/>
        <v>2019</v>
      </c>
      <c r="AA1">
        <f ca="1"/>
        <v>2023</v>
      </c>
    </row>
    <row r="2" spans="1:27" x14ac:dyDescent="0.25">
      <c r="A2" t="str">
        <f ca="1"/>
        <v>Lucas Alves</v>
      </c>
      <c r="B2" t="str">
        <f ca="1"/>
        <v>Masculino</v>
      </c>
      <c r="C2">
        <f ca="1"/>
        <v>32464</v>
      </c>
      <c r="D2">
        <f ca="1"/>
        <v>33</v>
      </c>
      <c r="E2" t="str">
        <f ca="1"/>
        <v>Ensino Superior</v>
      </c>
      <c r="F2" t="str">
        <f ca="1"/>
        <v>Analista Sr</v>
      </c>
      <c r="G2" t="str">
        <f ca="1"/>
        <v>Finanças</v>
      </c>
      <c r="H2">
        <f ca="1"/>
        <v>6000</v>
      </c>
      <c r="I2">
        <f ca="1"/>
        <v>43656</v>
      </c>
      <c r="J2">
        <f ca="1"/>
        <v>43702</v>
      </c>
      <c r="K2" t="str">
        <f ca="1"/>
        <v>Pedido de desligamento</v>
      </c>
      <c r="L2" t="str">
        <f ca="1"/>
        <v>CLT</v>
      </c>
      <c r="M2" t="str">
        <f ca="1"/>
        <v>Não</v>
      </c>
      <c r="N2">
        <f ca="1"/>
        <v>600</v>
      </c>
      <c r="O2">
        <f ca="1"/>
        <v>450</v>
      </c>
      <c r="P2">
        <f ca="1"/>
        <v>150</v>
      </c>
      <c r="Q2">
        <f ca="1"/>
        <v>300</v>
      </c>
      <c r="R2">
        <f ca="1"/>
        <v>0</v>
      </c>
      <c r="S2">
        <f ca="1"/>
        <v>200</v>
      </c>
      <c r="T2">
        <f ca="1"/>
        <v>1700</v>
      </c>
      <c r="U2">
        <f ca="1"/>
        <v>1490</v>
      </c>
      <c r="V2" t="str">
        <f ca="1"/>
        <v>1129-3062</v>
      </c>
      <c r="W2" t="str">
        <f ca="1"/>
        <v>5000-10499</v>
      </c>
      <c r="X2" t="str">
        <f ca="1"/>
        <v>30-33</v>
      </c>
      <c r="Y2" t="str">
        <f ca="1"/>
        <v>Desligado</v>
      </c>
      <c r="Z2">
        <f ca="1"/>
        <v>2019</v>
      </c>
      <c r="AA2">
        <f ca="1"/>
        <v>2019</v>
      </c>
    </row>
    <row r="3" spans="1:27" x14ac:dyDescent="0.25">
      <c r="A3" t="str">
        <f ca="1"/>
        <v>Natália Souza</v>
      </c>
      <c r="B3" t="str">
        <f ca="1"/>
        <v>Feminino</v>
      </c>
      <c r="C3">
        <f ca="1"/>
        <v>36501</v>
      </c>
      <c r="D3">
        <f ca="1"/>
        <v>22</v>
      </c>
      <c r="E3" t="str">
        <f ca="1"/>
        <v>Ensino Superior</v>
      </c>
      <c r="F3" t="str">
        <f ca="1"/>
        <v>Estagiário</v>
      </c>
      <c r="G3" t="str">
        <f ca="1"/>
        <v>Finanças</v>
      </c>
      <c r="H3">
        <f ca="1"/>
        <v>1600</v>
      </c>
      <c r="I3">
        <f ca="1"/>
        <v>45078</v>
      </c>
      <c r="J3">
        <f ca="1"/>
        <v>44469</v>
      </c>
      <c r="K3" t="str">
        <f ca="1"/>
        <v>Término de Contrato</v>
      </c>
      <c r="L3" t="str">
        <f ca="1"/>
        <v>Estágio</v>
      </c>
      <c r="M3" t="str">
        <f ca="1"/>
        <v>Não</v>
      </c>
      <c r="N3">
        <f ca="1"/>
        <v>180</v>
      </c>
      <c r="O3">
        <f ca="1"/>
        <v>100</v>
      </c>
      <c r="P3">
        <f ca="1"/>
        <v>30</v>
      </c>
      <c r="Q3">
        <f ca="1"/>
        <v>80</v>
      </c>
      <c r="R3">
        <f ca="1"/>
        <v>0</v>
      </c>
      <c r="S3">
        <f ca="1"/>
        <v>50</v>
      </c>
      <c r="T3">
        <f ca="1"/>
        <v>440</v>
      </c>
      <c r="U3">
        <f ca="1"/>
        <v>68</v>
      </c>
      <c r="V3" t="str">
        <f ca="1"/>
        <v>68-421</v>
      </c>
      <c r="W3" t="str">
        <f ca="1"/>
        <v>1600-3049</v>
      </c>
      <c r="X3" t="str">
        <f ca="1"/>
        <v>22-25</v>
      </c>
      <c r="Y3" t="str">
        <f ca="1"/>
        <v>Desligado</v>
      </c>
      <c r="Z3">
        <f ca="1"/>
        <v>2023</v>
      </c>
      <c r="AA3">
        <f ca="1"/>
        <v>2021</v>
      </c>
    </row>
    <row r="4" spans="1:27" x14ac:dyDescent="0.25">
      <c r="A4" t="str">
        <f ca="1"/>
        <v>Diego Mendes</v>
      </c>
      <c r="B4" t="str">
        <f ca="1"/>
        <v>Masculino</v>
      </c>
      <c r="C4">
        <f ca="1"/>
        <v>35589</v>
      </c>
      <c r="D4">
        <f ca="1"/>
        <v>24</v>
      </c>
      <c r="E4" t="str">
        <f ca="1"/>
        <v>Ensino Superior</v>
      </c>
      <c r="F4" t="str">
        <f ca="1"/>
        <v>Assistente</v>
      </c>
      <c r="G4" t="str">
        <f ca="1"/>
        <v>RH</v>
      </c>
      <c r="H4">
        <f ca="1"/>
        <v>1750</v>
      </c>
      <c r="I4">
        <f ca="1"/>
        <v>44602</v>
      </c>
      <c r="J4">
        <f ca="1"/>
        <v>45094</v>
      </c>
      <c r="K4" t="str">
        <f ca="1"/>
        <v>Demissão sem justa causa</v>
      </c>
      <c r="L4" t="str">
        <f ca="1"/>
        <v>CLT</v>
      </c>
      <c r="M4" t="str">
        <f ca="1"/>
        <v>Não</v>
      </c>
      <c r="N4">
        <f ca="1"/>
        <v>500</v>
      </c>
      <c r="O4">
        <f ca="1"/>
        <v>400</v>
      </c>
      <c r="P4">
        <f ca="1"/>
        <v>200</v>
      </c>
      <c r="Q4">
        <f ca="1"/>
        <v>250</v>
      </c>
      <c r="R4">
        <f ca="1"/>
        <v>0</v>
      </c>
      <c r="S4">
        <f ca="1"/>
        <v>200</v>
      </c>
      <c r="T4">
        <f ca="1"/>
        <v>1350</v>
      </c>
      <c r="U4">
        <f ca="1"/>
        <v>544</v>
      </c>
      <c r="V4" t="str">
        <f ca="1"/>
        <v>422-717</v>
      </c>
      <c r="W4" t="str">
        <f ca="1"/>
        <v>1600-3049</v>
      </c>
      <c r="X4" t="str">
        <f ca="1"/>
        <v>22-25</v>
      </c>
      <c r="Y4" t="str">
        <f ca="1"/>
        <v>Desligado</v>
      </c>
      <c r="Z4">
        <f ca="1"/>
        <v>2022</v>
      </c>
      <c r="AA4">
        <f ca="1"/>
        <v>2023</v>
      </c>
    </row>
    <row r="5" spans="1:27" x14ac:dyDescent="0.25">
      <c r="A5" t="str">
        <f ca="1"/>
        <v>Mariana Fernandes</v>
      </c>
      <c r="B5" t="str">
        <f ca="1"/>
        <v>Feminino</v>
      </c>
      <c r="C5">
        <f ca="1"/>
        <v>36119</v>
      </c>
      <c r="D5">
        <f ca="1"/>
        <v>23</v>
      </c>
      <c r="E5" t="str">
        <f ca="1"/>
        <v>Ensino Médio</v>
      </c>
      <c r="F5" t="str">
        <f ca="1"/>
        <v>Estagiário</v>
      </c>
      <c r="G5" t="str">
        <f ca="1"/>
        <v>TI</v>
      </c>
      <c r="H5">
        <f ca="1"/>
        <v>1800</v>
      </c>
      <c r="I5">
        <f ca="1"/>
        <v>45078</v>
      </c>
      <c r="J5">
        <f ca="1"/>
        <v>44561</v>
      </c>
      <c r="K5" t="str">
        <f ca="1"/>
        <v>Fim de contrato</v>
      </c>
      <c r="L5" t="str">
        <f ca="1"/>
        <v>Estágio</v>
      </c>
      <c r="M5" t="str">
        <f ca="1"/>
        <v>Não</v>
      </c>
      <c r="N5">
        <f ca="1"/>
        <v>200</v>
      </c>
      <c r="O5">
        <f ca="1"/>
        <v>150</v>
      </c>
      <c r="P5">
        <f ca="1"/>
        <v>40</v>
      </c>
      <c r="Q5">
        <f ca="1"/>
        <v>80</v>
      </c>
      <c r="R5">
        <f ca="1"/>
        <v>0</v>
      </c>
      <c r="S5">
        <f ca="1"/>
        <v>75</v>
      </c>
      <c r="T5">
        <f ca="1"/>
        <v>545</v>
      </c>
      <c r="U5">
        <f ca="1"/>
        <v>68</v>
      </c>
      <c r="V5" t="str">
        <f ca="1"/>
        <v>68-421</v>
      </c>
      <c r="W5" t="str">
        <f ca="1"/>
        <v>1600-3049</v>
      </c>
      <c r="X5" t="str">
        <f ca="1"/>
        <v>22-25</v>
      </c>
      <c r="Y5" t="str">
        <f ca="1"/>
        <v>Desligado</v>
      </c>
      <c r="Z5">
        <f ca="1"/>
        <v>2023</v>
      </c>
      <c r="AA5">
        <f ca="1"/>
        <v>2021</v>
      </c>
    </row>
  </sheetData>
  <sheetProtection algorithmName="SHA-512" hashValue="yvXfb60eTc3v4HjQwA93peVxGTgDxTQs4BGmsK8vXsjx8Uk5Oee9YAYiiIHC7b3wcKJ9DIcmDgKNGCy62EMz3A==" saltValue="obFvVsHl+O5qf+2f7vCOf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48E41-CCBF-48A8-9BFD-196E77DFF5E1}">
  <sheetPr codeName="Planilha3"/>
  <dimension ref="A1:AT22"/>
  <sheetViews>
    <sheetView showGridLines="0" zoomScale="145" zoomScaleNormal="145" workbookViewId="0">
      <selection activeCell="H18" sqref="H18:H19"/>
    </sheetView>
  </sheetViews>
  <sheetFormatPr defaultRowHeight="15" x14ac:dyDescent="0.25"/>
  <cols>
    <col min="1" max="1" width="10" style="2" bestFit="1" customWidth="1"/>
    <col min="2" max="3" width="9.140625" style="2"/>
    <col min="4" max="4" width="6.28515625" customWidth="1"/>
    <col min="5" max="5" width="9.28515625" style="2" customWidth="1"/>
    <col min="6" max="6" width="9.140625" style="2"/>
    <col min="7" max="7" width="12.7109375" customWidth="1"/>
    <col min="9" max="9" width="9.140625" style="14"/>
    <col min="10" max="10" width="10" style="14" bestFit="1" customWidth="1"/>
    <col min="11" max="11" width="6.5703125" style="14" customWidth="1"/>
    <col min="12" max="12" width="12.5703125" style="14" bestFit="1" customWidth="1"/>
    <col min="13" max="13" width="10.28515625" style="14" customWidth="1"/>
    <col min="14" max="14" width="10.7109375" style="14" customWidth="1"/>
    <col min="15" max="16" width="9.140625" style="14"/>
    <col min="17" max="17" width="10.28515625" style="14" bestFit="1" customWidth="1"/>
    <col min="18" max="18" width="7" style="14" customWidth="1"/>
    <col min="19" max="19" width="9.140625" style="14"/>
    <col min="20" max="20" width="11.140625" customWidth="1"/>
    <col min="22" max="22" width="10" bestFit="1" customWidth="1"/>
    <col min="26" max="26" width="13" style="14" bestFit="1" customWidth="1"/>
    <col min="27" max="28" width="9.140625" style="14"/>
    <col min="30" max="30" width="12.140625" style="14" bestFit="1" customWidth="1"/>
    <col min="31" max="32" width="15" style="14" customWidth="1"/>
    <col min="33" max="34" width="9.140625" style="14"/>
    <col min="35" max="35" width="10.7109375" style="14" bestFit="1" customWidth="1"/>
    <col min="36" max="38" width="9.140625" style="14"/>
    <col min="39" max="39" width="17.42578125" style="14" bestFit="1" customWidth="1"/>
    <col min="40" max="42" width="9.140625" style="14"/>
    <col min="43" max="43" width="11" style="14" bestFit="1" customWidth="1"/>
    <col min="45" max="45" width="11.42578125" bestFit="1" customWidth="1"/>
  </cols>
  <sheetData>
    <row r="1" spans="1:46" x14ac:dyDescent="0.25">
      <c r="A1" s="20" t="s">
        <v>6</v>
      </c>
      <c r="B1" s="20" t="s">
        <v>11</v>
      </c>
      <c r="C1" s="20" t="s">
        <v>111</v>
      </c>
      <c r="E1" s="17" t="s">
        <v>3</v>
      </c>
      <c r="F1" s="18" t="s">
        <v>88</v>
      </c>
      <c r="G1" s="19" t="s">
        <v>89</v>
      </c>
      <c r="I1" s="12" t="s">
        <v>95</v>
      </c>
      <c r="J1" s="12" t="s">
        <v>111</v>
      </c>
    </row>
    <row r="2" spans="1:46" x14ac:dyDescent="0.25">
      <c r="A2" s="2" t="s">
        <v>94</v>
      </c>
      <c r="B2" s="2" t="s">
        <v>94</v>
      </c>
      <c r="C2" s="2" t="s">
        <v>94</v>
      </c>
      <c r="E2" s="7">
        <f ca="1">_xlfn.QUARTILE.INC(_xlfn.UNIQUE(Tabela1[Idade]),0)</f>
        <v>22</v>
      </c>
      <c r="F2" s="7">
        <f ca="1">E3-1</f>
        <v>25</v>
      </c>
      <c r="G2" s="8" t="str">
        <f ca="1">_xlfn.CONCAT(E2,"-",F2)</f>
        <v>22-25</v>
      </c>
      <c r="I2" s="13">
        <v>1</v>
      </c>
      <c r="J2" s="13" t="str" cm="1">
        <f t="array" aca="1" ref="J2" ca="1">INDIRECT("C"&amp;I2 + 1)</f>
        <v>(Tudo)</v>
      </c>
      <c r="L2" s="16" t="s">
        <v>5</v>
      </c>
      <c r="M2" s="16" t="s">
        <v>97</v>
      </c>
      <c r="N2" s="16" t="s">
        <v>96</v>
      </c>
      <c r="O2" s="16" t="s">
        <v>120</v>
      </c>
      <c r="Q2" s="16" t="s">
        <v>3</v>
      </c>
      <c r="R2" s="16" t="s">
        <v>97</v>
      </c>
      <c r="S2" s="16" t="s">
        <v>96</v>
      </c>
      <c r="T2" s="16" t="s">
        <v>120</v>
      </c>
      <c r="V2" s="16" t="s">
        <v>3</v>
      </c>
      <c r="W2" s="16" t="s">
        <v>97</v>
      </c>
      <c r="X2" s="16" t="s">
        <v>96</v>
      </c>
      <c r="Z2" s="16" t="s">
        <v>7</v>
      </c>
      <c r="AA2" s="16" t="s">
        <v>97</v>
      </c>
      <c r="AB2" s="16" t="s">
        <v>97</v>
      </c>
      <c r="AD2" s="16" t="s">
        <v>19</v>
      </c>
      <c r="AE2" s="16" t="s">
        <v>98</v>
      </c>
      <c r="AF2" s="16"/>
      <c r="AG2" s="16" t="s">
        <v>96</v>
      </c>
      <c r="AI2" s="16" t="s">
        <v>90</v>
      </c>
      <c r="AJ2" s="16" t="s">
        <v>97</v>
      </c>
      <c r="AK2" s="16" t="s">
        <v>97</v>
      </c>
      <c r="AM2" s="16" t="s">
        <v>108</v>
      </c>
      <c r="AN2" s="16" t="s">
        <v>97</v>
      </c>
      <c r="AP2" s="16" t="s">
        <v>111</v>
      </c>
      <c r="AQ2" s="16" t="s">
        <v>115</v>
      </c>
      <c r="AS2" s="16" t="s">
        <v>91</v>
      </c>
      <c r="AT2" s="16" t="s">
        <v>117</v>
      </c>
    </row>
    <row r="3" spans="1:46" x14ac:dyDescent="0.25">
      <c r="A3" s="2" t="str" cm="1">
        <f t="array" ref="A3:A6">_xlfn._xlws.SORT(_xlfn.UNIQUE(Tabela1[Área]),,1)</f>
        <v>Finanças</v>
      </c>
      <c r="B3" s="2" t="str" cm="1">
        <f t="array" ref="B3:B4">_xlfn._xlws.SORT(_xlfn.UNIQUE(Tabela1[Contrato]),,1)</f>
        <v>CLT</v>
      </c>
      <c r="C3" s="2" cm="1">
        <f t="array" ref="C3:C9">_xlfn._xlws.SORT(_xlfn.UNIQUE(Tabela1[Ano_cont]),,1)</f>
        <v>2015</v>
      </c>
      <c r="E3" s="9">
        <f ca="1">ROUNDDOWN(_xlfn.QUARTILE.INC(_xlfn.UNIQUE(Tabela1[Idade]),1),0)</f>
        <v>26</v>
      </c>
      <c r="F3" s="7">
        <f ca="1">E4-1</f>
        <v>29</v>
      </c>
      <c r="G3" s="8" t="str">
        <f ca="1">_xlfn.CONCAT(E3,"-",F3)</f>
        <v>26-29</v>
      </c>
      <c r="L3" s="14" t="str" cm="1">
        <f t="array" ref="L3:L9">_xlfn._xlws.SORT(_xlfn.UNIQUE(Tabela1[Cargo]),,1)</f>
        <v>Analista Jr</v>
      </c>
      <c r="M3" s="14" cm="1">
        <f t="array" aca="1" ref="M3:M9" ca="1">IF(COUNTIF(Matricial!$F:$F,_xlfn.ANCHORARRAY(Auxiliar!L3))=0,"",COUNTIFS(Matricial!$F:$F,_xlfn.ANCHORARRAY(Auxiliar!L3),Matricial!$B:$B,"Masculino"))</f>
        <v>7</v>
      </c>
      <c r="N3" s="22">
        <f ca="1">IFERROR(M3/SUM(_xlfn.ANCHORARRAY($M$3)),0)</f>
        <v>0.35</v>
      </c>
      <c r="O3" s="14">
        <f ca="1">IF(MAX($M$3:$M$9,$M$14:$M$20)=0,1,MAX($M$3:$M$9,$M$14:$M$20))</f>
        <v>8</v>
      </c>
      <c r="Q3" s="14" t="str" cm="1">
        <f t="array" aca="1" ref="Q3:Q7" ca="1">_xlfn._xlws.SORT(_xlfn.UNIQUE(Tabela1[Faixa Idade]),,1)</f>
        <v>22-25</v>
      </c>
      <c r="R3" s="14" cm="1">
        <f t="array" aca="1" ref="R3:R7" ca="1">COUNTIFS(Matricial!$X:$X,_xlfn.ANCHORARRAY(Auxiliar!Q3),Matricial!$B:$B,"Masculino")</f>
        <v>2</v>
      </c>
      <c r="S3" s="22">
        <f ca="1">IFERROR(R3/SUM(_xlfn.ANCHORARRAY($R$3)),0)</f>
        <v>0.1</v>
      </c>
      <c r="T3" s="35">
        <v>1</v>
      </c>
      <c r="V3" s="14" t="str" cm="1">
        <f t="array" ref="V3:V4">_xlfn._xlws.SORT(_xlfn.UNIQUE(Tabela1[Gênero]),,1)</f>
        <v>Feminino</v>
      </c>
      <c r="W3" s="14" cm="1">
        <f t="array" aca="1" ref="W3:W4" ca="1">COUNTIF(Matricial!$B:$B,_xlfn.ANCHORARRAY(Auxiliar!V3))</f>
        <v>19</v>
      </c>
      <c r="X3" s="22">
        <f ca="1">IFERROR(W3/SUM(_xlfn.ANCHORARRAY($W$3)),"0,00%")</f>
        <v>0.48717948717948717</v>
      </c>
      <c r="Z3" s="14" t="s">
        <v>103</v>
      </c>
      <c r="AA3" s="14">
        <f ca="1">COUNTIFS(Matricial!$W:$W,$Z3,Matricial!$B:$B,"Masculino")</f>
        <v>4</v>
      </c>
      <c r="AB3" s="14">
        <f ca="1">COUNTIFS(Matricial!$W:$W,$Z3,Matricial!$B:$B,"Feminino")</f>
        <v>9</v>
      </c>
      <c r="AD3" s="14" t="str" cm="1">
        <f t="array" ref="AD3:AD8">_xlfn._xlws.SORT(TRANSPOSE(_xlfn.UNIQUE(Tabela1[[#Headers],[Alimentação]:[Combustível]])),,1)</f>
        <v>Alimentação</v>
      </c>
      <c r="AE3" s="27">
        <f ca="1">SUM(Matricial!$N:$N)</f>
        <v>22580</v>
      </c>
      <c r="AF3" s="27" t="str">
        <f ca="1">IF(AE3&gt;1000,"R$"&amp;(AE3/1000)&amp;"k",AE3)</f>
        <v>R$22,58k</v>
      </c>
      <c r="AG3" s="22">
        <f ca="1">AE3/SUM($AE$3:$AE$8)</f>
        <v>0.36487032398804231</v>
      </c>
      <c r="AI3" s="28" t="s">
        <v>121</v>
      </c>
      <c r="AJ3" s="14">
        <f ca="1">COUNTIFS(Matricial!$V:$V,Auxiliar!$AI3,Matricial!$B:$B,"Masculino")</f>
        <v>2</v>
      </c>
      <c r="AK3" s="14">
        <f ca="1">COUNTIFS(Matricial!$V:$V,Auxiliar!$AI3,Matricial!$B:$B,"Feminino")</f>
        <v>7</v>
      </c>
      <c r="AM3" s="14" t="s">
        <v>112</v>
      </c>
      <c r="AN3" s="14">
        <f ca="1">COUNTA(Matricial!Y:Y)-COUNTIF(Matricial!$Y:$Y,"Desligado")</f>
        <v>39</v>
      </c>
      <c r="AP3" s="14" cm="1">
        <f t="array" ref="AP3:AP9">_xlfn._xlws.SORT(_xlfn.UNIQUE(Tabela1[Ano_cont]),,1)</f>
        <v>2015</v>
      </c>
      <c r="AQ3" s="14">
        <f ca="1">IF($J$5="(Tudo)",
COUNTIFS(Tabela1[Ano_cont],Auxiliar!$AP3,Tabela1[Status],"&lt;&gt;Desligado"),
COUNTIFS(Tabela1[Ano_cont],Auxiliar!$AP3,Tabela1[Status],"&lt;&gt;Desligado",Tabela1[Área],Auxiliar!$J$5))</f>
        <v>3</v>
      </c>
      <c r="AS3" t="str" cm="1">
        <f t="array" ref="AS3:AS9">_xlfn.UNIQUE(Tabela1[Status])</f>
        <v>-</v>
      </c>
      <c r="AT3" cm="1">
        <f t="array" aca="1" ref="AT3:AT9" ca="1">COUNTIF(Matricial!Y:Y,_xlfn.ANCHORARRAY(Auxiliar!AS3))</f>
        <v>25</v>
      </c>
    </row>
    <row r="4" spans="1:46" x14ac:dyDescent="0.25">
      <c r="A4" s="2" t="str">
        <v>Marketing</v>
      </c>
      <c r="B4" s="2" t="str">
        <v>Estágio</v>
      </c>
      <c r="C4" s="2">
        <v>2018</v>
      </c>
      <c r="E4" s="7">
        <f ca="1">ROUNDDOWN(_xlfn.QUARTILE.INC(_xlfn.UNIQUE(Tabela1[Idade]),2),0)</f>
        <v>30</v>
      </c>
      <c r="F4" s="7">
        <f ca="1">E5-1</f>
        <v>33</v>
      </c>
      <c r="G4" s="8" t="str">
        <f ca="1">_xlfn.CONCAT(E4,"-",F4)</f>
        <v>30-33</v>
      </c>
      <c r="I4" s="12" t="s">
        <v>95</v>
      </c>
      <c r="J4" s="12" t="s">
        <v>6</v>
      </c>
      <c r="L4" s="14" t="str">
        <v>Analista Sr</v>
      </c>
      <c r="M4" s="14">
        <f ca="1"/>
        <v>3</v>
      </c>
      <c r="N4" s="22">
        <f t="shared" ref="N4:N9" ca="1" si="0">IFERROR(M4/SUM(_xlfn.ANCHORARRAY($M$3)),0)</f>
        <v>0.15</v>
      </c>
      <c r="O4" s="14">
        <f t="shared" ref="O4:O9" ca="1" si="1">IF(MAX($M$3:$M$9,$M$14:$M$20)=0,1,MAX($M$3:$M$9,$M$14:$M$20))</f>
        <v>8</v>
      </c>
      <c r="Q4" s="14" t="str">
        <f ca="1"/>
        <v>26-29</v>
      </c>
      <c r="R4" s="14">
        <f ca="1"/>
        <v>3</v>
      </c>
      <c r="S4" s="22">
        <f ca="1">IFERROR(R4/SUM(_xlfn.ANCHORARRAY($R$3)),0)</f>
        <v>0.15</v>
      </c>
      <c r="T4" s="35">
        <v>1</v>
      </c>
      <c r="V4" s="14" t="str">
        <v>Masculino</v>
      </c>
      <c r="W4" s="14">
        <f ca="1"/>
        <v>20</v>
      </c>
      <c r="X4" s="22">
        <f ca="1">IFERROR(W4/SUM(_xlfn.ANCHORARRAY($W$3)),"0,00%")</f>
        <v>0.51282051282051277</v>
      </c>
      <c r="Z4" s="14" t="s">
        <v>104</v>
      </c>
      <c r="AA4" s="14">
        <f ca="1">COUNTIFS(Matricial!$W:$W,$Z4,Matricial!$B:$B,"Masculino")</f>
        <v>7</v>
      </c>
      <c r="AB4" s="14">
        <f ca="1">COUNTIFS(Matricial!$W:$W,$Z4,Matricial!$B:$B,"Feminino")</f>
        <v>5</v>
      </c>
      <c r="AD4" s="14" t="str">
        <v>Combustível</v>
      </c>
      <c r="AE4" s="27">
        <f ca="1">SUM(Matricial!$S:$S)</f>
        <v>7035</v>
      </c>
      <c r="AF4" s="27" t="str">
        <f t="shared" ref="AF4:AF9" ca="1" si="2">IF(AE4&gt;1000,"R$"&amp;(AE4/1000)&amp;"k",AE4)</f>
        <v>R$7,035k</v>
      </c>
      <c r="AG4" s="22">
        <f t="shared" ref="AG4:AG8" ca="1" si="3">AE4/SUM($AE$3:$AE$8)</f>
        <v>0.11367859739840026</v>
      </c>
      <c r="AI4" s="14" t="s">
        <v>122</v>
      </c>
      <c r="AJ4" s="14">
        <f ca="1">COUNTIFS(Matricial!$V:$V,Auxiliar!$AI4,Matricial!$B:$B,"Masculino")</f>
        <v>6</v>
      </c>
      <c r="AK4" s="14">
        <f ca="1">COUNTIFS(Matricial!$V:$V,Auxiliar!$AI4,Matricial!$B:$B,"Feminino")</f>
        <v>3</v>
      </c>
      <c r="AM4" s="14" t="s">
        <v>109</v>
      </c>
      <c r="AN4" s="14">
        <f ca="1">COUNTIF(Desligados!$Y:$Y,"Desligado")</f>
        <v>5</v>
      </c>
      <c r="AP4" s="14">
        <v>2018</v>
      </c>
      <c r="AQ4" s="14">
        <f ca="1">IF($J$5="(Tudo)",
COUNTIFS(Tabela1[Ano_cont],Auxiliar!$AP4,Tabela1[Status],"&lt;&gt;Desligado"),
COUNTIFS(Tabela1[Ano_cont],Auxiliar!$AP4,Tabela1[Status],"&lt;&gt;Desligado",Tabela1[Área],Auxiliar!$J$5))+AQ3</f>
        <v>5</v>
      </c>
      <c r="AS4" t="str">
        <v>Licença Mat</v>
      </c>
      <c r="AT4">
        <f ca="1"/>
        <v>2</v>
      </c>
    </row>
    <row r="5" spans="1:46" x14ac:dyDescent="0.25">
      <c r="A5" s="2" t="str">
        <v>RH</v>
      </c>
      <c r="C5" s="2">
        <v>2019</v>
      </c>
      <c r="E5" s="9">
        <f ca="1">ROUNDDOWN(_xlfn.QUARTILE.INC(_xlfn.UNIQUE(Tabela1[Idade]),3),0)</f>
        <v>34</v>
      </c>
      <c r="F5" s="7">
        <f ca="1">E6-1</f>
        <v>47</v>
      </c>
      <c r="G5" s="8" t="str">
        <f ca="1">_xlfn.CONCAT(E5,"-",F5)</f>
        <v>34-47</v>
      </c>
      <c r="I5" s="13">
        <v>1</v>
      </c>
      <c r="J5" s="13" t="str" cm="1">
        <f t="array" aca="1" ref="J5" ca="1">INDIRECT("A"&amp;I5 + 1)</f>
        <v>(Tudo)</v>
      </c>
      <c r="L5" s="14" t="str">
        <v>Assistente</v>
      </c>
      <c r="M5" s="14">
        <f ca="1"/>
        <v>3</v>
      </c>
      <c r="N5" s="22">
        <f t="shared" ca="1" si="0"/>
        <v>0.15</v>
      </c>
      <c r="O5" s="14">
        <f t="shared" ca="1" si="1"/>
        <v>8</v>
      </c>
      <c r="Q5" s="14" t="str">
        <f ca="1"/>
        <v>30-33</v>
      </c>
      <c r="R5" s="14">
        <f ca="1"/>
        <v>8</v>
      </c>
      <c r="S5" s="22">
        <f ca="1">IFERROR(R5/SUM(_xlfn.ANCHORARRAY($R$3)),0)</f>
        <v>0.4</v>
      </c>
      <c r="T5" s="35">
        <v>1</v>
      </c>
      <c r="V5" s="16" t="s">
        <v>98</v>
      </c>
      <c r="W5" s="16">
        <f ca="1">SUM(_xlfn.ANCHORARRAY(W3))</f>
        <v>39</v>
      </c>
      <c r="X5" s="24">
        <f ca="1">SUM(X3:X4)</f>
        <v>1</v>
      </c>
      <c r="Z5" s="14" t="s">
        <v>105</v>
      </c>
      <c r="AA5" s="14">
        <f ca="1">COUNTIFS(Matricial!$W:$W,$Z5,Matricial!$B:$B,"Masculino")</f>
        <v>3</v>
      </c>
      <c r="AB5" s="14">
        <f ca="1">COUNTIFS(Matricial!$W:$W,$Z5,Matricial!$B:$B,"Feminino")</f>
        <v>4</v>
      </c>
      <c r="AD5" s="14" t="str">
        <v>Creche</v>
      </c>
      <c r="AE5" s="27">
        <f ca="1">SUM(Matricial!$R:$R)</f>
        <v>240</v>
      </c>
      <c r="AF5" s="27">
        <f t="shared" ca="1" si="2"/>
        <v>240</v>
      </c>
      <c r="AG5" s="22">
        <f t="shared" ca="1" si="3"/>
        <v>3.8781611052759149E-3</v>
      </c>
      <c r="AI5" s="14" t="s">
        <v>123</v>
      </c>
      <c r="AJ5" s="14">
        <f ca="1">COUNTIFS(Matricial!$V:$V,Auxiliar!$AI5,Matricial!$B:$B,"Masculino")</f>
        <v>3</v>
      </c>
      <c r="AK5" s="14">
        <f ca="1">COUNTIFS(Matricial!$V:$V,Auxiliar!$AI5,Matricial!$B:$B,"Feminino")</f>
        <v>5</v>
      </c>
      <c r="AM5" s="14" t="s">
        <v>116</v>
      </c>
      <c r="AN5" s="14">
        <f ca="1">VLOOKUP($J$2,$AP$3:$AQ$10,2,FALSE)</f>
        <v>39</v>
      </c>
      <c r="AP5" s="14">
        <v>2019</v>
      </c>
      <c r="AQ5" s="14">
        <f ca="1">IF($J$5="(Tudo)",
COUNTIFS(Tabela1[Ano_cont],Auxiliar!$AP5,Tabela1[Status],"&lt;&gt;Desligado"),
COUNTIFS(Tabela1[Ano_cont],Auxiliar!$AP5,Tabela1[Status],"&lt;&gt;Desligado",Tabela1[Área],Auxiliar!$J$5))+AQ4</f>
        <v>5</v>
      </c>
      <c r="AS5">
        <v>0</v>
      </c>
      <c r="AT5">
        <f ca="1"/>
        <v>4</v>
      </c>
    </row>
    <row r="6" spans="1:46" x14ac:dyDescent="0.25">
      <c r="A6" s="2" t="str">
        <v>TI</v>
      </c>
      <c r="C6" s="2">
        <v>2020</v>
      </c>
      <c r="E6" s="7">
        <f ca="1">ROUNDDOWN(_xlfn.QUARTILE.INC(_xlfn.UNIQUE(Tabela1[Idade]),4),0)</f>
        <v>48</v>
      </c>
      <c r="F6" s="7">
        <v>50</v>
      </c>
      <c r="G6" s="8" t="str">
        <f ca="1">_xlfn.CONCAT(E6,"-",F6)</f>
        <v>48-50</v>
      </c>
      <c r="L6" s="14" t="str">
        <v>Coordenador</v>
      </c>
      <c r="M6" s="14">
        <f ca="1"/>
        <v>2</v>
      </c>
      <c r="N6" s="22">
        <f t="shared" ca="1" si="0"/>
        <v>0.1</v>
      </c>
      <c r="O6" s="14">
        <f t="shared" ca="1" si="1"/>
        <v>8</v>
      </c>
      <c r="Q6" s="14" t="str">
        <f ca="1"/>
        <v>34-47</v>
      </c>
      <c r="R6" s="14">
        <f ca="1"/>
        <v>6</v>
      </c>
      <c r="S6" s="22">
        <f ca="1">IFERROR(R6/SUM(_xlfn.ANCHORARRAY($R$3)),0)</f>
        <v>0.3</v>
      </c>
      <c r="T6" s="35">
        <v>1</v>
      </c>
      <c r="Z6" s="14" t="s">
        <v>106</v>
      </c>
      <c r="AA6" s="14">
        <f ca="1">COUNTIFS(Matricial!$W:$W,$Z6,Matricial!$B:$B,"Masculino")</f>
        <v>6</v>
      </c>
      <c r="AB6" s="14">
        <f ca="1">COUNTIFS(Matricial!$W:$W,$Z6,Matricial!$B:$B,"Feminino")</f>
        <v>0</v>
      </c>
      <c r="AD6" s="14" t="str">
        <v>Odont</v>
      </c>
      <c r="AE6" s="27">
        <f ca="1">SUM(Matricial!$P:$P)</f>
        <v>6140</v>
      </c>
      <c r="AF6" s="27" t="str">
        <f t="shared" ca="1" si="2"/>
        <v>R$6,14k</v>
      </c>
      <c r="AG6" s="22">
        <f t="shared" ca="1" si="3"/>
        <v>9.9216288276642153E-2</v>
      </c>
      <c r="AI6" s="14" t="s">
        <v>124</v>
      </c>
      <c r="AJ6" s="14">
        <f ca="1">COUNTIFS(Matricial!$V:$V,Auxiliar!$AI6,Matricial!$B:$B,"Masculino")</f>
        <v>7</v>
      </c>
      <c r="AK6" s="14">
        <f ca="1">COUNTIFS(Matricial!$V:$V,Auxiliar!$AI6,Matricial!$B:$B,"Feminino")</f>
        <v>3</v>
      </c>
      <c r="AM6" s="14" t="s">
        <v>110</v>
      </c>
      <c r="AN6" s="31">
        <f ca="1">IF(AN4&gt;0,(AN4/AN5),0)</f>
        <v>0.12820512820512819</v>
      </c>
      <c r="AP6" s="14">
        <v>2020</v>
      </c>
      <c r="AQ6" s="14">
        <f ca="1">IF($J$5="(Tudo)",
COUNTIFS(Tabela1[Ano_cont],Auxiliar!$AP6,Tabela1[Status],"&lt;&gt;Desligado"),
COUNTIFS(Tabela1[Ano_cont],Auxiliar!$AP6,Tabela1[Status],"&lt;&gt;Desligado",Tabela1[Área],Auxiliar!$J$5))+AQ5</f>
        <v>18</v>
      </c>
      <c r="AS6" t="str">
        <v>Desligado</v>
      </c>
      <c r="AT6">
        <f ca="1"/>
        <v>0</v>
      </c>
    </row>
    <row r="7" spans="1:46" x14ac:dyDescent="0.25">
      <c r="C7" s="2">
        <v>2021</v>
      </c>
      <c r="I7" s="12" t="s">
        <v>95</v>
      </c>
      <c r="J7" s="12" t="s">
        <v>11</v>
      </c>
      <c r="L7" s="14" t="str">
        <v>Estagiário</v>
      </c>
      <c r="M7" s="14">
        <f ca="1"/>
        <v>1</v>
      </c>
      <c r="N7" s="22">
        <f t="shared" ca="1" si="0"/>
        <v>0.05</v>
      </c>
      <c r="O7" s="14">
        <f t="shared" ca="1" si="1"/>
        <v>8</v>
      </c>
      <c r="Q7" s="14" t="str">
        <f ca="1"/>
        <v>48-50</v>
      </c>
      <c r="R7" s="14">
        <f ca="1"/>
        <v>1</v>
      </c>
      <c r="S7" s="22">
        <f ca="1">IFERROR(R7/SUM(_xlfn.ANCHORARRAY($R$3)),0)</f>
        <v>0.05</v>
      </c>
      <c r="T7" s="35">
        <v>1</v>
      </c>
      <c r="Z7" s="14" t="s">
        <v>107</v>
      </c>
      <c r="AA7" s="14">
        <f ca="1">COUNTIFS(Matricial!$W:$W,$Z7,Matricial!$B:$B,"Masculino")</f>
        <v>0</v>
      </c>
      <c r="AB7" s="14">
        <f ca="1">COUNTIFS(Matricial!$W:$W,$Z7,Matricial!$B:$B,"Feminino")</f>
        <v>0</v>
      </c>
      <c r="AD7" s="14" t="str">
        <v>Saúde</v>
      </c>
      <c r="AE7" s="27">
        <f ca="1">SUM(Matricial!$O:$O)</f>
        <v>15700</v>
      </c>
      <c r="AF7" s="27" t="str">
        <f t="shared" ca="1" si="2"/>
        <v>R$15,7k</v>
      </c>
      <c r="AG7" s="22">
        <f t="shared" ca="1" si="3"/>
        <v>0.25369637230346609</v>
      </c>
      <c r="AI7" s="14" t="s">
        <v>125</v>
      </c>
      <c r="AJ7" s="14">
        <f ca="1">COUNTIFS(Matricial!$V:$V,Auxiliar!$AI7,Matricial!$B:$B,"Masculino")</f>
        <v>0</v>
      </c>
      <c r="AK7" s="14">
        <f ca="1">COUNTIFS(Matricial!$V:$V,Auxiliar!$AI7,Matricial!$B:$B,"Feminino")</f>
        <v>0</v>
      </c>
      <c r="AP7" s="14">
        <v>2021</v>
      </c>
      <c r="AQ7" s="14">
        <f ca="1">IF($J$5="(Tudo)",
COUNTIFS(Tabela1[Ano_cont],Auxiliar!$AP7,Tabela1[Status],"&lt;&gt;Desligado"),
COUNTIFS(Tabela1[Ano_cont],Auxiliar!$AP7,Tabela1[Status],"&lt;&gt;Desligado",Tabela1[Área],Auxiliar!$J$5))+AQ6</f>
        <v>22</v>
      </c>
      <c r="AS7" t="str">
        <v>Outros</v>
      </c>
      <c r="AT7">
        <f ca="1"/>
        <v>4</v>
      </c>
    </row>
    <row r="8" spans="1:46" x14ac:dyDescent="0.25">
      <c r="C8" s="2">
        <v>2022</v>
      </c>
      <c r="E8" s="15"/>
      <c r="I8" s="13">
        <v>1</v>
      </c>
      <c r="J8" s="13" t="str" cm="1">
        <f t="array" aca="1" ref="J8" ca="1">INDIRECT("B"&amp;I8 + 1)</f>
        <v>(Tudo)</v>
      </c>
      <c r="L8" s="14" t="str">
        <v>Gerente</v>
      </c>
      <c r="M8" s="14">
        <f ca="1"/>
        <v>2</v>
      </c>
      <c r="N8" s="22">
        <f t="shared" ca="1" si="0"/>
        <v>0.1</v>
      </c>
      <c r="O8" s="14">
        <f t="shared" ca="1" si="1"/>
        <v>8</v>
      </c>
      <c r="Q8" s="16" t="s">
        <v>98</v>
      </c>
      <c r="R8" s="16">
        <f ca="1">SUM(_xlfn.ANCHORARRAY(R3))</f>
        <v>20</v>
      </c>
      <c r="S8" s="21">
        <v>1</v>
      </c>
      <c r="T8" s="33"/>
      <c r="Z8" s="16" t="s">
        <v>98</v>
      </c>
      <c r="AA8" s="16">
        <f ca="1">SUM(_xlfn.ANCHORARRAY(AA3))</f>
        <v>4</v>
      </c>
      <c r="AB8" s="16">
        <f ca="1">SUM(_xlfn.ANCHORARRAY(AB3))</f>
        <v>9</v>
      </c>
      <c r="AD8" s="14" t="str">
        <v>Transporte</v>
      </c>
      <c r="AE8" s="27">
        <f ca="1">SUM(Matricial!$Q:$Q)</f>
        <v>10190</v>
      </c>
      <c r="AF8" s="27" t="str">
        <f t="shared" ca="1" si="2"/>
        <v>R$10,19k</v>
      </c>
      <c r="AG8" s="22">
        <f t="shared" ca="1" si="3"/>
        <v>0.16466025692817324</v>
      </c>
      <c r="AI8" s="16" t="s">
        <v>98</v>
      </c>
      <c r="AJ8" s="16">
        <f ca="1">SUM(_xlfn.ANCHORARRAY(AJ3))</f>
        <v>2</v>
      </c>
      <c r="AK8" s="16">
        <f ca="1">SUM(_xlfn.ANCHORARRAY(AK3))</f>
        <v>7</v>
      </c>
      <c r="AP8" s="14">
        <v>2022</v>
      </c>
      <c r="AQ8" s="14">
        <f ca="1">IF($J$5="(Tudo)",
COUNTIFS(Tabela1[Ano_cont],Auxiliar!$AP8,Tabela1[Status],"&lt;&gt;Desligado"),
COUNTIFS(Tabela1[Ano_cont],Auxiliar!$AP8,Tabela1[Status],"&lt;&gt;Desligado",Tabela1[Área],Auxiliar!$J$5))+AQ7</f>
        <v>32</v>
      </c>
      <c r="AS8" t="str">
        <v>Férias</v>
      </c>
      <c r="AT8">
        <f ca="1"/>
        <v>3</v>
      </c>
    </row>
    <row r="9" spans="1:46" x14ac:dyDescent="0.25">
      <c r="C9" s="2">
        <v>2023</v>
      </c>
      <c r="E9" s="17" t="s">
        <v>85</v>
      </c>
      <c r="F9" s="18" t="s">
        <v>88</v>
      </c>
      <c r="G9" s="18" t="s">
        <v>89</v>
      </c>
      <c r="L9" s="14" t="str">
        <v>Supervisor</v>
      </c>
      <c r="M9" s="14">
        <f ca="1"/>
        <v>2</v>
      </c>
      <c r="N9" s="22">
        <f t="shared" ca="1" si="0"/>
        <v>0.1</v>
      </c>
      <c r="O9" s="14">
        <f t="shared" ca="1" si="1"/>
        <v>8</v>
      </c>
      <c r="AD9" s="16" t="s">
        <v>98</v>
      </c>
      <c r="AE9" s="29">
        <f ca="1">SUM(AE3:AE8)</f>
        <v>61885</v>
      </c>
      <c r="AF9" s="29" t="str">
        <f t="shared" ca="1" si="2"/>
        <v>R$61,885k</v>
      </c>
      <c r="AG9" s="30">
        <f ca="1">SUM(AG3:AG8)</f>
        <v>0.99999999999999989</v>
      </c>
      <c r="AP9" s="14">
        <v>2023</v>
      </c>
      <c r="AQ9" s="14">
        <f ca="1">IF($J$5="(Tudo)",
COUNTIFS(Tabela1[Ano_cont],Auxiliar!$AP9,Tabela1[Status],"&lt;&gt;Desligado"),
COUNTIFS(Tabela1[Ano_cont],Auxiliar!$AP9,Tabela1[Status],"&lt;&gt;Desligado",Tabela1[Área],Auxiliar!$J$5))+AQ8</f>
        <v>39</v>
      </c>
      <c r="AS9" t="str">
        <v>Ativo</v>
      </c>
      <c r="AT9">
        <f ca="1"/>
        <v>1</v>
      </c>
    </row>
    <row r="10" spans="1:46" x14ac:dyDescent="0.25">
      <c r="E10" s="10">
        <f>_xlfn.QUARTILE.INC(_xlfn.UNIQUE(Tabela1[Salário]),0)</f>
        <v>1600</v>
      </c>
      <c r="F10" s="10">
        <f>E11-1</f>
        <v>3049</v>
      </c>
      <c r="G10" s="11" t="str">
        <f>_xlfn.CONCAT(E10,"-",F10)</f>
        <v>1600-3049</v>
      </c>
      <c r="L10" s="16" t="s">
        <v>98</v>
      </c>
      <c r="M10" s="16">
        <f ca="1">SUM(_xlfn.ANCHORARRAY(M3))</f>
        <v>20</v>
      </c>
      <c r="N10" s="21">
        <f ca="1">SUM(N3:N9)</f>
        <v>1</v>
      </c>
      <c r="O10" s="21"/>
      <c r="V10" s="34"/>
      <c r="AP10" s="14" t="s">
        <v>94</v>
      </c>
      <c r="AQ10" s="14">
        <f ca="1">AQ9</f>
        <v>39</v>
      </c>
    </row>
    <row r="11" spans="1:46" x14ac:dyDescent="0.25">
      <c r="E11" s="10">
        <f>_xlfn.QUARTILE.INC(_xlfn.UNIQUE(Tabela1[Salário]),1)</f>
        <v>3050</v>
      </c>
      <c r="F11" s="10">
        <f>E12-1</f>
        <v>4999</v>
      </c>
      <c r="G11" s="11" t="str">
        <f>_xlfn.CONCAT(E11,"-",F11)</f>
        <v>3050-4999</v>
      </c>
      <c r="M11" s="32">
        <v>43</v>
      </c>
      <c r="V11" s="34"/>
    </row>
    <row r="12" spans="1:46" x14ac:dyDescent="0.25">
      <c r="E12" s="10">
        <f>_xlfn.QUARTILE.INC(_xlfn.UNIQUE(Tabela1[Salário]),2)</f>
        <v>5000</v>
      </c>
      <c r="F12" s="10">
        <f>E13-1</f>
        <v>10499</v>
      </c>
      <c r="G12" s="11" t="str">
        <f>_xlfn.CONCAT(E12,"-",F12)</f>
        <v>5000-10499</v>
      </c>
      <c r="V12" s="34"/>
    </row>
    <row r="13" spans="1:46" x14ac:dyDescent="0.25">
      <c r="E13" s="10">
        <f>_xlfn.QUARTILE.INC(_xlfn.UNIQUE(Tabela1[Salário]),3)</f>
        <v>10500</v>
      </c>
      <c r="F13" s="10">
        <f>E14-1</f>
        <v>16999</v>
      </c>
      <c r="G13" s="11" t="str">
        <f>_xlfn.CONCAT(E13,"-",F13)</f>
        <v>10500-16999</v>
      </c>
      <c r="L13" s="16" t="s">
        <v>5</v>
      </c>
      <c r="M13" s="16" t="s">
        <v>97</v>
      </c>
      <c r="N13" s="16" t="s">
        <v>96</v>
      </c>
      <c r="O13" s="16" t="s">
        <v>120</v>
      </c>
      <c r="Q13" s="16" t="s">
        <v>3</v>
      </c>
      <c r="R13" s="16" t="s">
        <v>97</v>
      </c>
      <c r="S13" s="16" t="s">
        <v>96</v>
      </c>
      <c r="T13" s="16" t="s">
        <v>120</v>
      </c>
      <c r="V13" s="34"/>
    </row>
    <row r="14" spans="1:46" x14ac:dyDescent="0.25">
      <c r="E14" s="10">
        <f>_xlfn.QUARTILE.INC(_xlfn.UNIQUE(Tabela1[Salário]),4)</f>
        <v>17000</v>
      </c>
      <c r="F14" s="10">
        <f>E14+5000</f>
        <v>22000</v>
      </c>
      <c r="G14" s="11" t="str">
        <f>"&gt;"&amp;E14</f>
        <v>&gt;17000</v>
      </c>
      <c r="L14" s="14" t="str" cm="1">
        <f t="array" ref="L14:L20">_xlfn._xlws.SORT(_xlfn.UNIQUE(Tabela1[Cargo]),,1)</f>
        <v>Analista Jr</v>
      </c>
      <c r="M14" s="14" cm="1">
        <f t="array" aca="1" ref="M14:M20" ca="1">IF(COUNTIF(Matricial!$F:$F,_xlfn.ANCHORARRAY(Auxiliar!L14))=0,"",COUNTIFS(Matricial!$F:$F,_xlfn.ANCHORARRAY(Auxiliar!L14),Matricial!$B:$B,"Feminino"))</f>
        <v>4</v>
      </c>
      <c r="N14" s="22">
        <f ca="1">IFERROR(M14/SUM(_xlfn.ANCHORARRAY($M$3)),0)</f>
        <v>0.2</v>
      </c>
      <c r="O14" s="14">
        <f ca="1">IF(MAX($M$3:$M$9,$M$14:$M$20)=0,1,MAX($M$3:$M$9,$M$14:$M$20))</f>
        <v>8</v>
      </c>
      <c r="Q14" s="14" t="str" cm="1">
        <f t="array" aca="1" ref="Q14:Q18" ca="1">_xlfn._xlws.SORT(_xlfn.UNIQUE(Tabela1[Faixa Idade]),,1)</f>
        <v>22-25</v>
      </c>
      <c r="R14" s="14" cm="1">
        <f t="array" aca="1" ref="R14:R18" ca="1">COUNTIFS(Matricial!$X:$X,_xlfn.ANCHORARRAY(Auxiliar!Q14),Matricial!$B:$B,"Feminino")</f>
        <v>6</v>
      </c>
      <c r="S14" s="22">
        <f ca="1">IFERROR(R14/SUM(_xlfn.ANCHORARRAY($R$14)),0)</f>
        <v>0.31578947368421051</v>
      </c>
      <c r="T14" s="26">
        <f ca="1">MAX($R$3:$R$7,$R$14:$R$18)</f>
        <v>8</v>
      </c>
      <c r="U14" s="25"/>
      <c r="V14" s="34"/>
    </row>
    <row r="15" spans="1:46" x14ac:dyDescent="0.25">
      <c r="L15" s="14" t="str">
        <v>Analista Sr</v>
      </c>
      <c r="M15" s="14">
        <f ca="1"/>
        <v>2</v>
      </c>
      <c r="N15" s="22">
        <f t="shared" ref="N15:N20" ca="1" si="4">IFERROR(M15/SUM(_xlfn.ANCHORARRAY($M$3)),0)</f>
        <v>0.1</v>
      </c>
      <c r="O15" s="14">
        <f t="shared" ref="O15:O20" ca="1" si="5">IF(MAX($M$3:$M$9,$M$14:$M$20)=0,1,MAX($M$3:$M$9,$M$14:$M$20))</f>
        <v>8</v>
      </c>
      <c r="Q15" s="14" t="str">
        <f ca="1"/>
        <v>26-29</v>
      </c>
      <c r="R15" s="14">
        <f ca="1"/>
        <v>8</v>
      </c>
      <c r="S15" s="22">
        <f ca="1">IFERROR(R15/SUM(_xlfn.ANCHORARRAY($R$14)),0)</f>
        <v>0.42105263157894735</v>
      </c>
      <c r="T15" s="26">
        <f t="shared" ref="T15:T18" ca="1" si="6">MAX($R$3:$R$7,$R$14:$R$18)</f>
        <v>8</v>
      </c>
      <c r="U15" s="25"/>
      <c r="V15" s="34"/>
    </row>
    <row r="16" spans="1:46" x14ac:dyDescent="0.25">
      <c r="E16" s="15"/>
      <c r="L16" s="14" t="str">
        <v>Assistente</v>
      </c>
      <c r="M16" s="14">
        <f ca="1"/>
        <v>8</v>
      </c>
      <c r="N16" s="22">
        <f t="shared" ca="1" si="4"/>
        <v>0.4</v>
      </c>
      <c r="O16" s="14">
        <f t="shared" ca="1" si="5"/>
        <v>8</v>
      </c>
      <c r="Q16" s="14" t="str">
        <f ca="1"/>
        <v>30-33</v>
      </c>
      <c r="R16" s="14">
        <f ca="1"/>
        <v>4</v>
      </c>
      <c r="S16" s="22">
        <f t="shared" ref="S16:S18" ca="1" si="7">IFERROR(R16/SUM(_xlfn.ANCHORARRAY($R$14)),0)</f>
        <v>0.21052631578947367</v>
      </c>
      <c r="T16" s="26">
        <f t="shared" ca="1" si="6"/>
        <v>8</v>
      </c>
      <c r="U16" s="25"/>
      <c r="V16" s="34"/>
    </row>
    <row r="17" spans="5:22" x14ac:dyDescent="0.25">
      <c r="E17" s="17" t="s">
        <v>90</v>
      </c>
      <c r="F17" s="17" t="s">
        <v>88</v>
      </c>
      <c r="G17" s="17" t="s">
        <v>89</v>
      </c>
      <c r="L17" s="14" t="str">
        <v>Coordenador</v>
      </c>
      <c r="M17" s="14">
        <f ca="1"/>
        <v>1</v>
      </c>
      <c r="N17" s="22">
        <f t="shared" ca="1" si="4"/>
        <v>0.05</v>
      </c>
      <c r="O17" s="14">
        <f t="shared" ca="1" si="5"/>
        <v>8</v>
      </c>
      <c r="Q17" s="14" t="str">
        <f ca="1"/>
        <v>34-47</v>
      </c>
      <c r="R17" s="14">
        <f ca="1"/>
        <v>1</v>
      </c>
      <c r="S17" s="22">
        <f t="shared" ca="1" si="7"/>
        <v>5.2631578947368418E-2</v>
      </c>
      <c r="T17" s="26">
        <f t="shared" ca="1" si="6"/>
        <v>8</v>
      </c>
      <c r="U17" s="25"/>
      <c r="V17" s="34"/>
    </row>
    <row r="18" spans="5:22" x14ac:dyDescent="0.25">
      <c r="E18" s="10">
        <f ca="1">_xlfn.QUARTILE.INC(_xlfn.UNIQUE(Tabela1[Tempo Empresa]),0)</f>
        <v>68</v>
      </c>
      <c r="F18" s="10">
        <f ca="1">E19-1</f>
        <v>421</v>
      </c>
      <c r="G18" s="5" t="str">
        <f ca="1">_xlfn.CONCAT(E18,"-",F18)</f>
        <v>68-421</v>
      </c>
      <c r="L18" s="14" t="str">
        <v>Estagiário</v>
      </c>
      <c r="M18" s="14">
        <f ca="1"/>
        <v>3</v>
      </c>
      <c r="N18" s="22">
        <f t="shared" ca="1" si="4"/>
        <v>0.15</v>
      </c>
      <c r="O18" s="14">
        <f t="shared" ca="1" si="5"/>
        <v>8</v>
      </c>
      <c r="Q18" s="14" t="str">
        <f ca="1"/>
        <v>48-50</v>
      </c>
      <c r="R18" s="14">
        <f ca="1"/>
        <v>0</v>
      </c>
      <c r="S18" s="22">
        <f t="shared" ca="1" si="7"/>
        <v>0</v>
      </c>
      <c r="T18" s="26">
        <f t="shared" ca="1" si="6"/>
        <v>8</v>
      </c>
      <c r="U18" s="25"/>
      <c r="V18" s="34"/>
    </row>
    <row r="19" spans="5:22" x14ac:dyDescent="0.25">
      <c r="E19" s="10">
        <f ca="1">_xlfn.QUARTILE.INC(_xlfn.UNIQUE(Tabela1[Tempo Empresa]),1)</f>
        <v>422</v>
      </c>
      <c r="F19" s="10">
        <f ca="1">E20-1</f>
        <v>717</v>
      </c>
      <c r="G19" s="5" t="str">
        <f ca="1">_xlfn.CONCAT(E19,"-",F19)</f>
        <v>422-717</v>
      </c>
      <c r="L19" s="14" t="str">
        <v>Gerente</v>
      </c>
      <c r="M19" s="14">
        <f ca="1"/>
        <v>1</v>
      </c>
      <c r="N19" s="22">
        <f t="shared" ca="1" si="4"/>
        <v>0.05</v>
      </c>
      <c r="O19" s="14">
        <f t="shared" ca="1" si="5"/>
        <v>8</v>
      </c>
      <c r="Q19" s="16" t="s">
        <v>98</v>
      </c>
      <c r="R19" s="16">
        <f ca="1">SUM(_xlfn.ANCHORARRAY(R14))</f>
        <v>19</v>
      </c>
      <c r="S19" s="21">
        <f ca="1">SUM(S14:S18)</f>
        <v>1</v>
      </c>
      <c r="T19" s="33"/>
      <c r="V19" s="34"/>
    </row>
    <row r="20" spans="5:22" x14ac:dyDescent="0.25">
      <c r="E20" s="10">
        <f ca="1">_xlfn.QUARTILE.INC(_xlfn.UNIQUE(Tabela1[Tempo Empresa]),2)</f>
        <v>718</v>
      </c>
      <c r="F20" s="10">
        <f ca="1">E21-1</f>
        <v>1128</v>
      </c>
      <c r="G20" s="5" t="str">
        <f ca="1">_xlfn.CONCAT(E20,"-",F20)</f>
        <v>718-1128</v>
      </c>
      <c r="L20" s="14" t="str">
        <v>Supervisor</v>
      </c>
      <c r="M20" s="14">
        <f ca="1"/>
        <v>0</v>
      </c>
      <c r="N20" s="22">
        <f t="shared" ca="1" si="4"/>
        <v>0</v>
      </c>
      <c r="O20" s="14">
        <f t="shared" ca="1" si="5"/>
        <v>8</v>
      </c>
    </row>
    <row r="21" spans="5:22" x14ac:dyDescent="0.25">
      <c r="E21" s="10">
        <f ca="1">_xlfn.QUARTILE.INC(_xlfn.UNIQUE(Tabela1[Tempo Empresa]),3)</f>
        <v>1129</v>
      </c>
      <c r="F21" s="10">
        <f ca="1">E22-1</f>
        <v>3062</v>
      </c>
      <c r="G21" s="5" t="str">
        <f ca="1">_xlfn.CONCAT(E21,"-",F21)</f>
        <v>1129-3062</v>
      </c>
      <c r="L21" s="16" t="s">
        <v>98</v>
      </c>
      <c r="M21" s="16">
        <f ca="1">SUM(_xlfn.ANCHORARRAY(M14))</f>
        <v>19</v>
      </c>
      <c r="N21" s="21">
        <f ca="1">SUM(N14:N20)</f>
        <v>0.95000000000000018</v>
      </c>
      <c r="O21" s="21"/>
    </row>
    <row r="22" spans="5:22" x14ac:dyDescent="0.25">
      <c r="E22" s="10">
        <f ca="1">_xlfn.QUARTILE.INC(_xlfn.UNIQUE(Tabela1[Tempo Empresa]),4)</f>
        <v>3063</v>
      </c>
      <c r="F22" s="10">
        <f ca="1">E22+1000</f>
        <v>4063</v>
      </c>
      <c r="G22" s="6" t="str">
        <f ca="1">"&gt;"&amp;E22</f>
        <v>&gt;3063</v>
      </c>
    </row>
  </sheetData>
  <sheetProtection algorithmName="SHA-512" hashValue="iCk7B3Yv8FLwdnCVL61S1tNOba3rPQ5EiTytoQ/E/MkLR1YY11WMARJkMH/EhQ4heVjzYR5xyEJW/l3gTPc4ig==" saltValue="2gqumecpXbB0Cqx/S8lEW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Dashboard</vt:lpstr>
      <vt:lpstr>BaseDados</vt:lpstr>
      <vt:lpstr>Matricial</vt:lpstr>
      <vt:lpstr>Desligados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Alberto Araujo</dc:creator>
  <cp:lastModifiedBy>Alberto Araujo</cp:lastModifiedBy>
  <dcterms:created xsi:type="dcterms:W3CDTF">2023-08-02T23:19:40Z</dcterms:created>
  <dcterms:modified xsi:type="dcterms:W3CDTF">2023-08-09T01:01:11Z</dcterms:modified>
</cp:coreProperties>
</file>